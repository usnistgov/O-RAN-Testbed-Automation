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jw10\Documents\GitHub\AIML\o-ran-testbed-init\RAN_Intelligent_Controllers\research\experiments_7-21-2025\"/>
    </mc:Choice>
  </mc:AlternateContent>
  <xr:revisionPtr revIDLastSave="0" documentId="13_ncr:1_{0B1D4347-31E9-4B53-A988-6E22B6CE2422}" xr6:coauthVersionLast="47" xr6:coauthVersionMax="47" xr10:uidLastSave="{00000000-0000-0000-0000-000000000000}"/>
  <bookViews>
    <workbookView xWindow="-108" yWindow="-108" windowWidth="23256" windowHeight="13896" xr2:uid="{A1805074-8524-46ED-B543-6FC5C598E264}"/>
  </bookViews>
  <sheets>
    <sheet name="paper_data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74" i="2" l="1"/>
  <c r="R74" i="2"/>
  <c r="Q74" i="2"/>
  <c r="P74" i="2"/>
  <c r="O74" i="2"/>
  <c r="N74" i="2"/>
  <c r="M74" i="2"/>
  <c r="L74" i="2"/>
  <c r="T74" i="2" s="1"/>
  <c r="S73" i="2"/>
  <c r="R73" i="2"/>
  <c r="Q73" i="2"/>
  <c r="P73" i="2"/>
  <c r="O73" i="2"/>
  <c r="N73" i="2"/>
  <c r="M73" i="2"/>
  <c r="L73" i="2"/>
  <c r="S72" i="2"/>
  <c r="R72" i="2"/>
  <c r="Q72" i="2"/>
  <c r="P72" i="2"/>
  <c r="O72" i="2"/>
  <c r="N72" i="2"/>
  <c r="M72" i="2"/>
  <c r="L72" i="2"/>
  <c r="T72" i="2" s="1"/>
  <c r="S71" i="2"/>
  <c r="R71" i="2"/>
  <c r="T71" i="2" s="1"/>
  <c r="Q71" i="2"/>
  <c r="P71" i="2"/>
  <c r="O71" i="2"/>
  <c r="N71" i="2"/>
  <c r="M71" i="2"/>
  <c r="L71" i="2"/>
  <c r="S70" i="2"/>
  <c r="R70" i="2"/>
  <c r="Q70" i="2"/>
  <c r="P70" i="2"/>
  <c r="O70" i="2"/>
  <c r="N70" i="2"/>
  <c r="M70" i="2"/>
  <c r="L70" i="2"/>
  <c r="T70" i="2" s="1"/>
  <c r="S69" i="2"/>
  <c r="R69" i="2"/>
  <c r="Q69" i="2"/>
  <c r="P69" i="2"/>
  <c r="T69" i="2" s="1"/>
  <c r="O69" i="2"/>
  <c r="N69" i="2"/>
  <c r="M69" i="2"/>
  <c r="L69" i="2"/>
  <c r="S68" i="2"/>
  <c r="R68" i="2"/>
  <c r="Q68" i="2"/>
  <c r="P68" i="2"/>
  <c r="O68" i="2"/>
  <c r="N68" i="2"/>
  <c r="M68" i="2"/>
  <c r="L68" i="2"/>
  <c r="T68" i="2" s="1"/>
  <c r="S67" i="2"/>
  <c r="R67" i="2"/>
  <c r="Q67" i="2"/>
  <c r="P67" i="2"/>
  <c r="O67" i="2"/>
  <c r="N67" i="2"/>
  <c r="M67" i="2"/>
  <c r="L67" i="2"/>
  <c r="S66" i="2"/>
  <c r="R66" i="2"/>
  <c r="Q66" i="2"/>
  <c r="P66" i="2"/>
  <c r="O66" i="2"/>
  <c r="N66" i="2"/>
  <c r="M66" i="2"/>
  <c r="L66" i="2"/>
  <c r="T66" i="2" s="1"/>
  <c r="S65" i="2"/>
  <c r="R65" i="2"/>
  <c r="Q65" i="2"/>
  <c r="P65" i="2"/>
  <c r="O65" i="2"/>
  <c r="N65" i="2"/>
  <c r="M65" i="2"/>
  <c r="L65" i="2"/>
  <c r="T65" i="2" s="1"/>
  <c r="S64" i="2"/>
  <c r="R64" i="2"/>
  <c r="Q64" i="2"/>
  <c r="P64" i="2"/>
  <c r="O64" i="2"/>
  <c r="N64" i="2"/>
  <c r="M64" i="2"/>
  <c r="L64" i="2"/>
  <c r="T64" i="2" s="1"/>
  <c r="S63" i="2"/>
  <c r="R63" i="2"/>
  <c r="Q63" i="2"/>
  <c r="P63" i="2"/>
  <c r="O63" i="2"/>
  <c r="N63" i="2"/>
  <c r="M63" i="2"/>
  <c r="L63" i="2"/>
  <c r="T63" i="2" s="1"/>
  <c r="S62" i="2"/>
  <c r="R62" i="2"/>
  <c r="Q62" i="2"/>
  <c r="P62" i="2"/>
  <c r="O62" i="2"/>
  <c r="N62" i="2"/>
  <c r="M62" i="2"/>
  <c r="L62" i="2"/>
  <c r="S61" i="2"/>
  <c r="R61" i="2"/>
  <c r="Q61" i="2"/>
  <c r="P61" i="2"/>
  <c r="O61" i="2"/>
  <c r="N61" i="2"/>
  <c r="M61" i="2"/>
  <c r="L61" i="2"/>
  <c r="T61" i="2" s="1"/>
  <c r="S60" i="2"/>
  <c r="R60" i="2"/>
  <c r="Q60" i="2"/>
  <c r="P60" i="2"/>
  <c r="O60" i="2"/>
  <c r="N60" i="2"/>
  <c r="M60" i="2"/>
  <c r="L60" i="2"/>
  <c r="S59" i="2"/>
  <c r="R59" i="2"/>
  <c r="Q59" i="2"/>
  <c r="P59" i="2"/>
  <c r="O59" i="2"/>
  <c r="N59" i="2"/>
  <c r="M59" i="2"/>
  <c r="L59" i="2"/>
  <c r="T59" i="2" s="1"/>
  <c r="S58" i="2"/>
  <c r="R58" i="2"/>
  <c r="Q58" i="2"/>
  <c r="P58" i="2"/>
  <c r="O58" i="2"/>
  <c r="N58" i="2"/>
  <c r="M58" i="2"/>
  <c r="L58" i="2"/>
  <c r="S57" i="2"/>
  <c r="R57" i="2"/>
  <c r="Q57" i="2"/>
  <c r="P57" i="2"/>
  <c r="O57" i="2"/>
  <c r="N57" i="2"/>
  <c r="M57" i="2"/>
  <c r="T57" i="2" s="1"/>
  <c r="L57" i="2"/>
  <c r="S56" i="2"/>
  <c r="R56" i="2"/>
  <c r="Q56" i="2"/>
  <c r="P56" i="2"/>
  <c r="O56" i="2"/>
  <c r="N56" i="2"/>
  <c r="M56" i="2"/>
  <c r="T56" i="2" s="1"/>
  <c r="L56" i="2"/>
  <c r="S55" i="2"/>
  <c r="R55" i="2"/>
  <c r="Q55" i="2"/>
  <c r="P55" i="2"/>
  <c r="O55" i="2"/>
  <c r="N55" i="2"/>
  <c r="M55" i="2"/>
  <c r="L55" i="2"/>
  <c r="T55" i="2" s="1"/>
  <c r="S54" i="2"/>
  <c r="R54" i="2"/>
  <c r="Q54" i="2"/>
  <c r="P54" i="2"/>
  <c r="O54" i="2"/>
  <c r="N54" i="2"/>
  <c r="M54" i="2"/>
  <c r="L54" i="2"/>
  <c r="T54" i="2" s="1"/>
  <c r="S53" i="2"/>
  <c r="R53" i="2"/>
  <c r="Q53" i="2"/>
  <c r="P53" i="2"/>
  <c r="O53" i="2"/>
  <c r="N53" i="2"/>
  <c r="M53" i="2"/>
  <c r="L53" i="2"/>
  <c r="S52" i="2"/>
  <c r="R52" i="2"/>
  <c r="Q52" i="2"/>
  <c r="P52" i="2"/>
  <c r="O52" i="2"/>
  <c r="N52" i="2"/>
  <c r="M52" i="2"/>
  <c r="L52" i="2"/>
  <c r="T52" i="2" s="1"/>
  <c r="S51" i="2"/>
  <c r="R51" i="2"/>
  <c r="Q51" i="2"/>
  <c r="P51" i="2"/>
  <c r="O51" i="2"/>
  <c r="N51" i="2"/>
  <c r="M51" i="2"/>
  <c r="L51" i="2"/>
  <c r="S50" i="2"/>
  <c r="R50" i="2"/>
  <c r="Q50" i="2"/>
  <c r="P50" i="2"/>
  <c r="O50" i="2"/>
  <c r="N50" i="2"/>
  <c r="M50" i="2"/>
  <c r="L50" i="2"/>
  <c r="T50" i="2" s="1"/>
  <c r="S49" i="2"/>
  <c r="R49" i="2"/>
  <c r="Q49" i="2"/>
  <c r="P49" i="2"/>
  <c r="O49" i="2"/>
  <c r="N49" i="2"/>
  <c r="M49" i="2"/>
  <c r="L49" i="2"/>
  <c r="S48" i="2"/>
  <c r="R48" i="2"/>
  <c r="Q48" i="2"/>
  <c r="P48" i="2"/>
  <c r="O48" i="2"/>
  <c r="N48" i="2"/>
  <c r="M48" i="2"/>
  <c r="L48" i="2"/>
  <c r="T48" i="2" s="1"/>
  <c r="S47" i="2"/>
  <c r="R47" i="2"/>
  <c r="Q47" i="2"/>
  <c r="P47" i="2"/>
  <c r="O47" i="2"/>
  <c r="N47" i="2"/>
  <c r="M47" i="2"/>
  <c r="L47" i="2"/>
  <c r="S46" i="2"/>
  <c r="R46" i="2"/>
  <c r="Q46" i="2"/>
  <c r="P46" i="2"/>
  <c r="O46" i="2"/>
  <c r="N46" i="2"/>
  <c r="M46" i="2"/>
  <c r="L46" i="2"/>
  <c r="T46" i="2" s="1"/>
  <c r="S45" i="2"/>
  <c r="R45" i="2"/>
  <c r="Q45" i="2"/>
  <c r="P45" i="2"/>
  <c r="O45" i="2"/>
  <c r="N45" i="2"/>
  <c r="M45" i="2"/>
  <c r="L45" i="2"/>
  <c r="T45" i="2" s="1"/>
  <c r="S44" i="2"/>
  <c r="R44" i="2"/>
  <c r="Q44" i="2"/>
  <c r="P44" i="2"/>
  <c r="O44" i="2"/>
  <c r="N44" i="2"/>
  <c r="M44" i="2"/>
  <c r="L44" i="2"/>
  <c r="T44" i="2" s="1"/>
  <c r="S43" i="2"/>
  <c r="R43" i="2"/>
  <c r="Q43" i="2"/>
  <c r="P43" i="2"/>
  <c r="O43" i="2"/>
  <c r="N43" i="2"/>
  <c r="M43" i="2"/>
  <c r="L43" i="2"/>
  <c r="T43" i="2" s="1"/>
  <c r="S42" i="2"/>
  <c r="T42" i="2" s="1"/>
  <c r="R42" i="2"/>
  <c r="Q42" i="2"/>
  <c r="P42" i="2"/>
  <c r="O42" i="2"/>
  <c r="N42" i="2"/>
  <c r="M42" i="2"/>
  <c r="L42" i="2"/>
  <c r="S41" i="2"/>
  <c r="R41" i="2"/>
  <c r="Q41" i="2"/>
  <c r="P41" i="2"/>
  <c r="O41" i="2"/>
  <c r="N41" i="2"/>
  <c r="M41" i="2"/>
  <c r="L41" i="2"/>
  <c r="T41" i="2" s="1"/>
  <c r="S40" i="2"/>
  <c r="R40" i="2"/>
  <c r="Q40" i="2"/>
  <c r="P40" i="2"/>
  <c r="O40" i="2"/>
  <c r="N40" i="2"/>
  <c r="M40" i="2"/>
  <c r="L40" i="2"/>
  <c r="S39" i="2"/>
  <c r="R39" i="2"/>
  <c r="Q39" i="2"/>
  <c r="P39" i="2"/>
  <c r="O39" i="2"/>
  <c r="N39" i="2"/>
  <c r="M39" i="2"/>
  <c r="L39" i="2"/>
  <c r="T39" i="2" s="1"/>
  <c r="S38" i="2"/>
  <c r="R38" i="2"/>
  <c r="Q38" i="2"/>
  <c r="P38" i="2"/>
  <c r="O38" i="2"/>
  <c r="N38" i="2"/>
  <c r="M38" i="2"/>
  <c r="L38" i="2"/>
  <c r="S37" i="2"/>
  <c r="R37" i="2"/>
  <c r="Q37" i="2"/>
  <c r="P37" i="2"/>
  <c r="O37" i="2"/>
  <c r="N37" i="2"/>
  <c r="M37" i="2"/>
  <c r="T37" i="2" s="1"/>
  <c r="L37" i="2"/>
  <c r="S36" i="2"/>
  <c r="R36" i="2"/>
  <c r="Q36" i="2"/>
  <c r="P36" i="2"/>
  <c r="O36" i="2"/>
  <c r="N36" i="2"/>
  <c r="M36" i="2"/>
  <c r="T36" i="2" s="1"/>
  <c r="L36" i="2"/>
  <c r="S35" i="2"/>
  <c r="R35" i="2"/>
  <c r="Q35" i="2"/>
  <c r="P35" i="2"/>
  <c r="O35" i="2"/>
  <c r="N35" i="2"/>
  <c r="M35" i="2"/>
  <c r="L35" i="2"/>
  <c r="T35" i="2" s="1"/>
  <c r="S34" i="2"/>
  <c r="R34" i="2"/>
  <c r="Q34" i="2"/>
  <c r="P34" i="2"/>
  <c r="O34" i="2"/>
  <c r="N34" i="2"/>
  <c r="M34" i="2"/>
  <c r="L34" i="2"/>
  <c r="T34" i="2" s="1"/>
  <c r="S33" i="2"/>
  <c r="R33" i="2"/>
  <c r="Q33" i="2"/>
  <c r="P33" i="2"/>
  <c r="O33" i="2"/>
  <c r="N33" i="2"/>
  <c r="M33" i="2"/>
  <c r="L33" i="2"/>
  <c r="S32" i="2"/>
  <c r="R32" i="2"/>
  <c r="Q32" i="2"/>
  <c r="P32" i="2"/>
  <c r="O32" i="2"/>
  <c r="N32" i="2"/>
  <c r="M32" i="2"/>
  <c r="L32" i="2"/>
  <c r="T32" i="2" s="1"/>
  <c r="S31" i="2"/>
  <c r="R31" i="2"/>
  <c r="Q31" i="2"/>
  <c r="P31" i="2"/>
  <c r="O31" i="2"/>
  <c r="N31" i="2"/>
  <c r="M31" i="2"/>
  <c r="L31" i="2"/>
  <c r="S30" i="2"/>
  <c r="R30" i="2"/>
  <c r="Q30" i="2"/>
  <c r="P30" i="2"/>
  <c r="O30" i="2"/>
  <c r="N30" i="2"/>
  <c r="M30" i="2"/>
  <c r="L30" i="2"/>
  <c r="T30" i="2" s="1"/>
  <c r="S29" i="2"/>
  <c r="R29" i="2"/>
  <c r="Q29" i="2"/>
  <c r="P29" i="2"/>
  <c r="T29" i="2" s="1"/>
  <c r="O29" i="2"/>
  <c r="N29" i="2"/>
  <c r="M29" i="2"/>
  <c r="L29" i="2"/>
  <c r="S28" i="2"/>
  <c r="R28" i="2"/>
  <c r="Q28" i="2"/>
  <c r="P28" i="2"/>
  <c r="O28" i="2"/>
  <c r="N28" i="2"/>
  <c r="M28" i="2"/>
  <c r="L28" i="2"/>
  <c r="T28" i="2" s="1"/>
  <c r="S27" i="2"/>
  <c r="R27" i="2"/>
  <c r="Q27" i="2"/>
  <c r="P27" i="2"/>
  <c r="O27" i="2"/>
  <c r="N27" i="2"/>
  <c r="T27" i="2" s="1"/>
  <c r="M27" i="2"/>
  <c r="L27" i="2"/>
  <c r="S26" i="2"/>
  <c r="R26" i="2"/>
  <c r="Q26" i="2"/>
  <c r="P26" i="2"/>
  <c r="O26" i="2"/>
  <c r="N26" i="2"/>
  <c r="M26" i="2"/>
  <c r="L26" i="2"/>
  <c r="T26" i="2" s="1"/>
  <c r="S25" i="2"/>
  <c r="R25" i="2"/>
  <c r="Q25" i="2"/>
  <c r="P25" i="2"/>
  <c r="O25" i="2"/>
  <c r="N25" i="2"/>
  <c r="M25" i="2"/>
  <c r="L25" i="2"/>
  <c r="T25" i="2" s="1"/>
  <c r="S24" i="2"/>
  <c r="R24" i="2"/>
  <c r="Q24" i="2"/>
  <c r="P24" i="2"/>
  <c r="O24" i="2"/>
  <c r="N24" i="2"/>
  <c r="M24" i="2"/>
  <c r="L24" i="2"/>
  <c r="T24" i="2" s="1"/>
  <c r="S23" i="2"/>
  <c r="R23" i="2"/>
  <c r="Q23" i="2"/>
  <c r="P23" i="2"/>
  <c r="O23" i="2"/>
  <c r="N23" i="2"/>
  <c r="M23" i="2"/>
  <c r="L23" i="2"/>
  <c r="T23" i="2" s="1"/>
  <c r="S22" i="2"/>
  <c r="T22" i="2" s="1"/>
  <c r="R22" i="2"/>
  <c r="Q22" i="2"/>
  <c r="P22" i="2"/>
  <c r="O22" i="2"/>
  <c r="N22" i="2"/>
  <c r="M22" i="2"/>
  <c r="L22" i="2"/>
  <c r="S21" i="2"/>
  <c r="R21" i="2"/>
  <c r="Q21" i="2"/>
  <c r="P21" i="2"/>
  <c r="O21" i="2"/>
  <c r="N21" i="2"/>
  <c r="M21" i="2"/>
  <c r="L21" i="2"/>
  <c r="T21" i="2" s="1"/>
  <c r="S20" i="2"/>
  <c r="R20" i="2"/>
  <c r="Q20" i="2"/>
  <c r="T20" i="2" s="1"/>
  <c r="P20" i="2"/>
  <c r="O20" i="2"/>
  <c r="N20" i="2"/>
  <c r="M20" i="2"/>
  <c r="L20" i="2"/>
  <c r="S19" i="2"/>
  <c r="R19" i="2"/>
  <c r="Q19" i="2"/>
  <c r="P19" i="2"/>
  <c r="O19" i="2"/>
  <c r="N19" i="2"/>
  <c r="M19" i="2"/>
  <c r="L19" i="2"/>
  <c r="T19" i="2" s="1"/>
  <c r="S18" i="2"/>
  <c r="R18" i="2"/>
  <c r="Y7" i="2" s="1"/>
  <c r="Q18" i="2"/>
  <c r="P18" i="2"/>
  <c r="O18" i="2"/>
  <c r="T18" i="2" s="1"/>
  <c r="N18" i="2"/>
  <c r="M18" i="2"/>
  <c r="L18" i="2"/>
  <c r="S17" i="2"/>
  <c r="R17" i="2"/>
  <c r="Q17" i="2"/>
  <c r="P17" i="2"/>
  <c r="O17" i="2"/>
  <c r="N17" i="2"/>
  <c r="M17" i="2"/>
  <c r="T17" i="2" s="1"/>
  <c r="L17" i="2"/>
  <c r="S16" i="2"/>
  <c r="R16" i="2"/>
  <c r="Q16" i="2"/>
  <c r="P16" i="2"/>
  <c r="O16" i="2"/>
  <c r="N16" i="2"/>
  <c r="M16" i="2"/>
  <c r="T16" i="2" s="1"/>
  <c r="L16" i="2"/>
  <c r="S15" i="2"/>
  <c r="R15" i="2"/>
  <c r="Q15" i="2"/>
  <c r="P15" i="2"/>
  <c r="O15" i="2"/>
  <c r="N15" i="2"/>
  <c r="M15" i="2"/>
  <c r="L15" i="2"/>
  <c r="T15" i="2" s="1"/>
  <c r="S14" i="2"/>
  <c r="R14" i="2"/>
  <c r="Q14" i="2"/>
  <c r="P14" i="2"/>
  <c r="O14" i="2"/>
  <c r="N14" i="2"/>
  <c r="M14" i="2"/>
  <c r="L14" i="2"/>
  <c r="T14" i="2" s="1"/>
  <c r="T13" i="2"/>
  <c r="S13" i="2"/>
  <c r="R13" i="2"/>
  <c r="Q13" i="2"/>
  <c r="P13" i="2"/>
  <c r="O13" i="2"/>
  <c r="N13" i="2"/>
  <c r="M13" i="2"/>
  <c r="L13" i="2"/>
  <c r="S12" i="2"/>
  <c r="R12" i="2"/>
  <c r="Q12" i="2"/>
  <c r="P12" i="2"/>
  <c r="O12" i="2"/>
  <c r="N12" i="2"/>
  <c r="M12" i="2"/>
  <c r="L12" i="2"/>
  <c r="T12" i="2" s="1"/>
  <c r="S11" i="2"/>
  <c r="R11" i="2"/>
  <c r="T11" i="2" s="1"/>
  <c r="Q11" i="2"/>
  <c r="P11" i="2"/>
  <c r="O11" i="2"/>
  <c r="N11" i="2"/>
  <c r="M11" i="2"/>
  <c r="L11" i="2"/>
  <c r="S10" i="2"/>
  <c r="R10" i="2"/>
  <c r="Q10" i="2"/>
  <c r="P10" i="2"/>
  <c r="O10" i="2"/>
  <c r="N10" i="2"/>
  <c r="M10" i="2"/>
  <c r="L10" i="2"/>
  <c r="T10" i="2" s="1"/>
  <c r="S9" i="2"/>
  <c r="R9" i="2"/>
  <c r="T9" i="2" s="1"/>
  <c r="Q9" i="2"/>
  <c r="P9" i="2"/>
  <c r="O9" i="2"/>
  <c r="N9" i="2"/>
  <c r="M9" i="2"/>
  <c r="L9" i="2"/>
  <c r="S8" i="2"/>
  <c r="R8" i="2"/>
  <c r="Q8" i="2"/>
  <c r="P8" i="2"/>
  <c r="O8" i="2"/>
  <c r="N8" i="2"/>
  <c r="M8" i="2"/>
  <c r="L8" i="2"/>
  <c r="T8" i="2" s="1"/>
  <c r="T7" i="2"/>
  <c r="S7" i="2"/>
  <c r="R7" i="2"/>
  <c r="Q7" i="2"/>
  <c r="P7" i="2"/>
  <c r="O7" i="2"/>
  <c r="N7" i="2"/>
  <c r="M7" i="2"/>
  <c r="L7" i="2"/>
  <c r="S6" i="2"/>
  <c r="R6" i="2"/>
  <c r="Q6" i="2"/>
  <c r="P6" i="2"/>
  <c r="O6" i="2"/>
  <c r="N6" i="2"/>
  <c r="M6" i="2"/>
  <c r="L6" i="2"/>
  <c r="T6" i="2" s="1"/>
  <c r="Y5" i="2"/>
  <c r="S5" i="2"/>
  <c r="R5" i="2"/>
  <c r="Q5" i="2"/>
  <c r="P5" i="2"/>
  <c r="O5" i="2"/>
  <c r="N5" i="2"/>
  <c r="M5" i="2"/>
  <c r="L5" i="2"/>
  <c r="T5" i="2" s="1"/>
  <c r="S4" i="2"/>
  <c r="R4" i="2"/>
  <c r="Q4" i="2"/>
  <c r="P4" i="2"/>
  <c r="O4" i="2"/>
  <c r="N4" i="2"/>
  <c r="M4" i="2"/>
  <c r="V2" i="2" s="1"/>
  <c r="L4" i="2"/>
  <c r="S3" i="2"/>
  <c r="R3" i="2"/>
  <c r="Q3" i="2"/>
  <c r="P3" i="2"/>
  <c r="O3" i="2"/>
  <c r="N3" i="2"/>
  <c r="M3" i="2"/>
  <c r="L3" i="2"/>
  <c r="T3" i="2" s="1"/>
  <c r="S2" i="2"/>
  <c r="Y8" i="2" s="1"/>
  <c r="R2" i="2"/>
  <c r="V7" i="2" s="1"/>
  <c r="Q2" i="2"/>
  <c r="V6" i="2" s="1"/>
  <c r="P2" i="2"/>
  <c r="O2" i="2"/>
  <c r="T2" i="2" s="1"/>
  <c r="N2" i="2"/>
  <c r="Y3" i="2" s="1"/>
  <c r="M2" i="2"/>
  <c r="L2" i="2"/>
  <c r="S1" i="2"/>
  <c r="V8" i="2" s="1"/>
  <c r="R1" i="2"/>
  <c r="Q1" i="2"/>
  <c r="Y6" i="2" s="1"/>
  <c r="P1" i="2"/>
  <c r="V5" i="2" s="1"/>
  <c r="O1" i="2"/>
  <c r="Y4" i="2" s="1"/>
  <c r="N1" i="2"/>
  <c r="M1" i="2"/>
  <c r="Y2" i="2" s="1"/>
  <c r="L1" i="2"/>
  <c r="Y1" i="2" s="1"/>
  <c r="S75" i="1"/>
  <c r="R75" i="1"/>
  <c r="Q75" i="1"/>
  <c r="P75" i="1"/>
  <c r="O75" i="1"/>
  <c r="N75" i="1"/>
  <c r="M75" i="1"/>
  <c r="L75" i="1"/>
  <c r="S74" i="1"/>
  <c r="R74" i="1"/>
  <c r="Q74" i="1"/>
  <c r="P74" i="1"/>
  <c r="O74" i="1"/>
  <c r="N74" i="1"/>
  <c r="M74" i="1"/>
  <c r="L74" i="1"/>
  <c r="S73" i="1"/>
  <c r="R73" i="1"/>
  <c r="Q73" i="1"/>
  <c r="P73" i="1"/>
  <c r="O73" i="1"/>
  <c r="N73" i="1"/>
  <c r="M73" i="1"/>
  <c r="L73" i="1"/>
  <c r="S72" i="1"/>
  <c r="R72" i="1"/>
  <c r="Q72" i="1"/>
  <c r="P72" i="1"/>
  <c r="O72" i="1"/>
  <c r="N72" i="1"/>
  <c r="M72" i="1"/>
  <c r="L72" i="1"/>
  <c r="S71" i="1"/>
  <c r="R71" i="1"/>
  <c r="Q71" i="1"/>
  <c r="P71" i="1"/>
  <c r="O71" i="1"/>
  <c r="N71" i="1"/>
  <c r="M71" i="1"/>
  <c r="L71" i="1"/>
  <c r="S70" i="1"/>
  <c r="R70" i="1"/>
  <c r="Q70" i="1"/>
  <c r="P70" i="1"/>
  <c r="O70" i="1"/>
  <c r="N70" i="1"/>
  <c r="M70" i="1"/>
  <c r="L70" i="1"/>
  <c r="S69" i="1"/>
  <c r="R69" i="1"/>
  <c r="Q69" i="1"/>
  <c r="P69" i="1"/>
  <c r="O69" i="1"/>
  <c r="N69" i="1"/>
  <c r="M69" i="1"/>
  <c r="L69" i="1"/>
  <c r="S68" i="1"/>
  <c r="R68" i="1"/>
  <c r="Q68" i="1"/>
  <c r="P68" i="1"/>
  <c r="O68" i="1"/>
  <c r="N68" i="1"/>
  <c r="M68" i="1"/>
  <c r="L68" i="1"/>
  <c r="S67" i="1"/>
  <c r="R67" i="1"/>
  <c r="Q67" i="1"/>
  <c r="P67" i="1"/>
  <c r="O67" i="1"/>
  <c r="N67" i="1"/>
  <c r="M67" i="1"/>
  <c r="L67" i="1"/>
  <c r="S66" i="1"/>
  <c r="R66" i="1"/>
  <c r="Q66" i="1"/>
  <c r="P66" i="1"/>
  <c r="O66" i="1"/>
  <c r="N66" i="1"/>
  <c r="M66" i="1"/>
  <c r="L66" i="1"/>
  <c r="S65" i="1"/>
  <c r="R65" i="1"/>
  <c r="Q65" i="1"/>
  <c r="P65" i="1"/>
  <c r="O65" i="1"/>
  <c r="N65" i="1"/>
  <c r="M65" i="1"/>
  <c r="L65" i="1"/>
  <c r="S64" i="1"/>
  <c r="R64" i="1"/>
  <c r="Q64" i="1"/>
  <c r="P64" i="1"/>
  <c r="O64" i="1"/>
  <c r="N64" i="1"/>
  <c r="M64" i="1"/>
  <c r="L64" i="1"/>
  <c r="S63" i="1"/>
  <c r="R63" i="1"/>
  <c r="Q63" i="1"/>
  <c r="P63" i="1"/>
  <c r="O63" i="1"/>
  <c r="N63" i="1"/>
  <c r="M63" i="1"/>
  <c r="L63" i="1"/>
  <c r="S62" i="1"/>
  <c r="R62" i="1"/>
  <c r="Q62" i="1"/>
  <c r="P62" i="1"/>
  <c r="O62" i="1"/>
  <c r="N62" i="1"/>
  <c r="M62" i="1"/>
  <c r="L62" i="1"/>
  <c r="S61" i="1"/>
  <c r="R61" i="1"/>
  <c r="Q61" i="1"/>
  <c r="P61" i="1"/>
  <c r="O61" i="1"/>
  <c r="N61" i="1"/>
  <c r="M61" i="1"/>
  <c r="L61" i="1"/>
  <c r="S60" i="1"/>
  <c r="R60" i="1"/>
  <c r="Q60" i="1"/>
  <c r="P60" i="1"/>
  <c r="O60" i="1"/>
  <c r="N60" i="1"/>
  <c r="M60" i="1"/>
  <c r="L60" i="1"/>
  <c r="S59" i="1"/>
  <c r="R59" i="1"/>
  <c r="Q59" i="1"/>
  <c r="P59" i="1"/>
  <c r="O59" i="1"/>
  <c r="N59" i="1"/>
  <c r="M59" i="1"/>
  <c r="L59" i="1"/>
  <c r="S58" i="1"/>
  <c r="R58" i="1"/>
  <c r="Q58" i="1"/>
  <c r="P58" i="1"/>
  <c r="O58" i="1"/>
  <c r="N58" i="1"/>
  <c r="M58" i="1"/>
  <c r="L58" i="1"/>
  <c r="S57" i="1"/>
  <c r="R57" i="1"/>
  <c r="Q57" i="1"/>
  <c r="P57" i="1"/>
  <c r="O57" i="1"/>
  <c r="N57" i="1"/>
  <c r="M57" i="1"/>
  <c r="L57" i="1"/>
  <c r="S56" i="1"/>
  <c r="R56" i="1"/>
  <c r="Q56" i="1"/>
  <c r="P56" i="1"/>
  <c r="O56" i="1"/>
  <c r="N56" i="1"/>
  <c r="M56" i="1"/>
  <c r="L56" i="1"/>
  <c r="S55" i="1"/>
  <c r="R55" i="1"/>
  <c r="Q55" i="1"/>
  <c r="P55" i="1"/>
  <c r="O55" i="1"/>
  <c r="N55" i="1"/>
  <c r="M55" i="1"/>
  <c r="L55" i="1"/>
  <c r="S54" i="1"/>
  <c r="R54" i="1"/>
  <c r="Q54" i="1"/>
  <c r="P54" i="1"/>
  <c r="O54" i="1"/>
  <c r="N54" i="1"/>
  <c r="M54" i="1"/>
  <c r="L54" i="1"/>
  <c r="S53" i="1"/>
  <c r="R53" i="1"/>
  <c r="Q53" i="1"/>
  <c r="P53" i="1"/>
  <c r="O53" i="1"/>
  <c r="N53" i="1"/>
  <c r="M53" i="1"/>
  <c r="L53" i="1"/>
  <c r="S52" i="1"/>
  <c r="R52" i="1"/>
  <c r="Q52" i="1"/>
  <c r="P52" i="1"/>
  <c r="O52" i="1"/>
  <c r="N52" i="1"/>
  <c r="M52" i="1"/>
  <c r="L52" i="1"/>
  <c r="S51" i="1"/>
  <c r="R51" i="1"/>
  <c r="Q51" i="1"/>
  <c r="P51" i="1"/>
  <c r="O51" i="1"/>
  <c r="N51" i="1"/>
  <c r="M51" i="1"/>
  <c r="L51" i="1"/>
  <c r="S50" i="1"/>
  <c r="R50" i="1"/>
  <c r="Q50" i="1"/>
  <c r="P50" i="1"/>
  <c r="O50" i="1"/>
  <c r="N50" i="1"/>
  <c r="M50" i="1"/>
  <c r="L50" i="1"/>
  <c r="S49" i="1"/>
  <c r="R49" i="1"/>
  <c r="Q49" i="1"/>
  <c r="P49" i="1"/>
  <c r="O49" i="1"/>
  <c r="N49" i="1"/>
  <c r="M49" i="1"/>
  <c r="L49" i="1"/>
  <c r="S48" i="1"/>
  <c r="R48" i="1"/>
  <c r="Q48" i="1"/>
  <c r="P48" i="1"/>
  <c r="O48" i="1"/>
  <c r="N48" i="1"/>
  <c r="M48" i="1"/>
  <c r="L48" i="1"/>
  <c r="S47" i="1"/>
  <c r="R47" i="1"/>
  <c r="Q47" i="1"/>
  <c r="P47" i="1"/>
  <c r="O47" i="1"/>
  <c r="N47" i="1"/>
  <c r="M47" i="1"/>
  <c r="L47" i="1"/>
  <c r="S46" i="1"/>
  <c r="R46" i="1"/>
  <c r="Q46" i="1"/>
  <c r="P46" i="1"/>
  <c r="O46" i="1"/>
  <c r="N46" i="1"/>
  <c r="M46" i="1"/>
  <c r="L46" i="1"/>
  <c r="S45" i="1"/>
  <c r="R45" i="1"/>
  <c r="Q45" i="1"/>
  <c r="P45" i="1"/>
  <c r="O45" i="1"/>
  <c r="N45" i="1"/>
  <c r="M45" i="1"/>
  <c r="L45" i="1"/>
  <c r="S44" i="1"/>
  <c r="R44" i="1"/>
  <c r="Q44" i="1"/>
  <c r="P44" i="1"/>
  <c r="O44" i="1"/>
  <c r="N44" i="1"/>
  <c r="M44" i="1"/>
  <c r="L44" i="1"/>
  <c r="S43" i="1"/>
  <c r="R43" i="1"/>
  <c r="Q43" i="1"/>
  <c r="P43" i="1"/>
  <c r="O43" i="1"/>
  <c r="N43" i="1"/>
  <c r="M43" i="1"/>
  <c r="L43" i="1"/>
  <c r="S42" i="1"/>
  <c r="R42" i="1"/>
  <c r="Q42" i="1"/>
  <c r="P42" i="1"/>
  <c r="O42" i="1"/>
  <c r="N42" i="1"/>
  <c r="M42" i="1"/>
  <c r="L42" i="1"/>
  <c r="S41" i="1"/>
  <c r="R41" i="1"/>
  <c r="Q41" i="1"/>
  <c r="P41" i="1"/>
  <c r="O41" i="1"/>
  <c r="N41" i="1"/>
  <c r="M41" i="1"/>
  <c r="L41" i="1"/>
  <c r="S40" i="1"/>
  <c r="R40" i="1"/>
  <c r="Q40" i="1"/>
  <c r="P40" i="1"/>
  <c r="O40" i="1"/>
  <c r="N40" i="1"/>
  <c r="M40" i="1"/>
  <c r="L40" i="1"/>
  <c r="S39" i="1"/>
  <c r="R39" i="1"/>
  <c r="Q39" i="1"/>
  <c r="P39" i="1"/>
  <c r="O39" i="1"/>
  <c r="N39" i="1"/>
  <c r="M39" i="1"/>
  <c r="L39" i="1"/>
  <c r="S38" i="1"/>
  <c r="R38" i="1"/>
  <c r="Q38" i="1"/>
  <c r="P38" i="1"/>
  <c r="O38" i="1"/>
  <c r="N38" i="1"/>
  <c r="M38" i="1"/>
  <c r="L38" i="1"/>
  <c r="S37" i="1"/>
  <c r="R37" i="1"/>
  <c r="Q37" i="1"/>
  <c r="P37" i="1"/>
  <c r="O37" i="1"/>
  <c r="N37" i="1"/>
  <c r="M37" i="1"/>
  <c r="L37" i="1"/>
  <c r="S36" i="1"/>
  <c r="R36" i="1"/>
  <c r="Q36" i="1"/>
  <c r="P36" i="1"/>
  <c r="O36" i="1"/>
  <c r="N36" i="1"/>
  <c r="M36" i="1"/>
  <c r="L36" i="1"/>
  <c r="S35" i="1"/>
  <c r="R35" i="1"/>
  <c r="Q35" i="1"/>
  <c r="P35" i="1"/>
  <c r="O35" i="1"/>
  <c r="N35" i="1"/>
  <c r="M35" i="1"/>
  <c r="L35" i="1"/>
  <c r="S34" i="1"/>
  <c r="R34" i="1"/>
  <c r="Q34" i="1"/>
  <c r="P34" i="1"/>
  <c r="O34" i="1"/>
  <c r="N34" i="1"/>
  <c r="M34" i="1"/>
  <c r="L34" i="1"/>
  <c r="S33" i="1"/>
  <c r="R33" i="1"/>
  <c r="Q33" i="1"/>
  <c r="P33" i="1"/>
  <c r="O33" i="1"/>
  <c r="N33" i="1"/>
  <c r="M33" i="1"/>
  <c r="L33" i="1"/>
  <c r="S32" i="1"/>
  <c r="R32" i="1"/>
  <c r="Q32" i="1"/>
  <c r="P32" i="1"/>
  <c r="O32" i="1"/>
  <c r="N32" i="1"/>
  <c r="M32" i="1"/>
  <c r="L32" i="1"/>
  <c r="S31" i="1"/>
  <c r="R31" i="1"/>
  <c r="Q31" i="1"/>
  <c r="P31" i="1"/>
  <c r="O31" i="1"/>
  <c r="N31" i="1"/>
  <c r="M31" i="1"/>
  <c r="L31" i="1"/>
  <c r="S30" i="1"/>
  <c r="R30" i="1"/>
  <c r="Q30" i="1"/>
  <c r="P30" i="1"/>
  <c r="O30" i="1"/>
  <c r="N30" i="1"/>
  <c r="M30" i="1"/>
  <c r="L30" i="1"/>
  <c r="S29" i="1"/>
  <c r="R29" i="1"/>
  <c r="Q29" i="1"/>
  <c r="P29" i="1"/>
  <c r="O29" i="1"/>
  <c r="N29" i="1"/>
  <c r="M29" i="1"/>
  <c r="L29" i="1"/>
  <c r="S28" i="1"/>
  <c r="R28" i="1"/>
  <c r="Q28" i="1"/>
  <c r="P28" i="1"/>
  <c r="O28" i="1"/>
  <c r="N28" i="1"/>
  <c r="M28" i="1"/>
  <c r="L28" i="1"/>
  <c r="S27" i="1"/>
  <c r="R27" i="1"/>
  <c r="Q27" i="1"/>
  <c r="P27" i="1"/>
  <c r="O27" i="1"/>
  <c r="N27" i="1"/>
  <c r="M27" i="1"/>
  <c r="L27" i="1"/>
  <c r="S26" i="1"/>
  <c r="R26" i="1"/>
  <c r="Q26" i="1"/>
  <c r="P26" i="1"/>
  <c r="O26" i="1"/>
  <c r="N26" i="1"/>
  <c r="M26" i="1"/>
  <c r="L26" i="1"/>
  <c r="S25" i="1"/>
  <c r="R25" i="1"/>
  <c r="Q25" i="1"/>
  <c r="P25" i="1"/>
  <c r="O25" i="1"/>
  <c r="N25" i="1"/>
  <c r="M25" i="1"/>
  <c r="L25" i="1"/>
  <c r="S24" i="1"/>
  <c r="R24" i="1"/>
  <c r="Q24" i="1"/>
  <c r="P24" i="1"/>
  <c r="O24" i="1"/>
  <c r="N24" i="1"/>
  <c r="M24" i="1"/>
  <c r="L24" i="1"/>
  <c r="S23" i="1"/>
  <c r="R23" i="1"/>
  <c r="Q23" i="1"/>
  <c r="P23" i="1"/>
  <c r="O23" i="1"/>
  <c r="N23" i="1"/>
  <c r="M23" i="1"/>
  <c r="L23" i="1"/>
  <c r="S22" i="1"/>
  <c r="R22" i="1"/>
  <c r="Q22" i="1"/>
  <c r="P22" i="1"/>
  <c r="O22" i="1"/>
  <c r="N22" i="1"/>
  <c r="M22" i="1"/>
  <c r="L22" i="1"/>
  <c r="S21" i="1"/>
  <c r="R21" i="1"/>
  <c r="Q21" i="1"/>
  <c r="P21" i="1"/>
  <c r="O21" i="1"/>
  <c r="N21" i="1"/>
  <c r="M21" i="1"/>
  <c r="L21" i="1"/>
  <c r="S20" i="1"/>
  <c r="R20" i="1"/>
  <c r="Q20" i="1"/>
  <c r="P20" i="1"/>
  <c r="O20" i="1"/>
  <c r="N20" i="1"/>
  <c r="M20" i="1"/>
  <c r="L20" i="1"/>
  <c r="S19" i="1"/>
  <c r="R19" i="1"/>
  <c r="Q19" i="1"/>
  <c r="P19" i="1"/>
  <c r="O19" i="1"/>
  <c r="N19" i="1"/>
  <c r="M19" i="1"/>
  <c r="L19" i="1"/>
  <c r="S18" i="1"/>
  <c r="R18" i="1"/>
  <c r="Q18" i="1"/>
  <c r="P18" i="1"/>
  <c r="O18" i="1"/>
  <c r="N18" i="1"/>
  <c r="M18" i="1"/>
  <c r="L18" i="1"/>
  <c r="S17" i="1"/>
  <c r="R17" i="1"/>
  <c r="Q17" i="1"/>
  <c r="P17" i="1"/>
  <c r="O17" i="1"/>
  <c r="N17" i="1"/>
  <c r="M17" i="1"/>
  <c r="L17" i="1"/>
  <c r="S16" i="1"/>
  <c r="R16" i="1"/>
  <c r="Q16" i="1"/>
  <c r="P16" i="1"/>
  <c r="O16" i="1"/>
  <c r="N16" i="1"/>
  <c r="M16" i="1"/>
  <c r="L16" i="1"/>
  <c r="S15" i="1"/>
  <c r="R15" i="1"/>
  <c r="Q15" i="1"/>
  <c r="P15" i="1"/>
  <c r="O15" i="1"/>
  <c r="N15" i="1"/>
  <c r="M15" i="1"/>
  <c r="L15" i="1"/>
  <c r="S14" i="1"/>
  <c r="R14" i="1"/>
  <c r="Q14" i="1"/>
  <c r="P14" i="1"/>
  <c r="O14" i="1"/>
  <c r="N14" i="1"/>
  <c r="M14" i="1"/>
  <c r="L14" i="1"/>
  <c r="S13" i="1"/>
  <c r="R13" i="1"/>
  <c r="Q13" i="1"/>
  <c r="P13" i="1"/>
  <c r="O13" i="1"/>
  <c r="N13" i="1"/>
  <c r="M13" i="1"/>
  <c r="L13" i="1"/>
  <c r="S12" i="1"/>
  <c r="R12" i="1"/>
  <c r="Q12" i="1"/>
  <c r="P12" i="1"/>
  <c r="O12" i="1"/>
  <c r="N12" i="1"/>
  <c r="M12" i="1"/>
  <c r="L12" i="1"/>
  <c r="S11" i="1"/>
  <c r="R11" i="1"/>
  <c r="Q11" i="1"/>
  <c r="P11" i="1"/>
  <c r="O11" i="1"/>
  <c r="N11" i="1"/>
  <c r="M11" i="1"/>
  <c r="L11" i="1"/>
  <c r="S10" i="1"/>
  <c r="R10" i="1"/>
  <c r="Q10" i="1"/>
  <c r="P10" i="1"/>
  <c r="O10" i="1"/>
  <c r="N10" i="1"/>
  <c r="M10" i="1"/>
  <c r="L10" i="1"/>
  <c r="S9" i="1"/>
  <c r="R9" i="1"/>
  <c r="Q9" i="1"/>
  <c r="P9" i="1"/>
  <c r="O9" i="1"/>
  <c r="N9" i="1"/>
  <c r="M9" i="1"/>
  <c r="L9" i="1"/>
  <c r="S8" i="1"/>
  <c r="R8" i="1"/>
  <c r="Q8" i="1"/>
  <c r="P8" i="1"/>
  <c r="O8" i="1"/>
  <c r="N8" i="1"/>
  <c r="M8" i="1"/>
  <c r="L8" i="1"/>
  <c r="S7" i="1"/>
  <c r="R7" i="1"/>
  <c r="Q7" i="1"/>
  <c r="P7" i="1"/>
  <c r="O7" i="1"/>
  <c r="N7" i="1"/>
  <c r="M7" i="1"/>
  <c r="L7" i="1"/>
  <c r="S6" i="1"/>
  <c r="R6" i="1"/>
  <c r="Q6" i="1"/>
  <c r="P6" i="1"/>
  <c r="O6" i="1"/>
  <c r="N6" i="1"/>
  <c r="M6" i="1"/>
  <c r="L6" i="1"/>
  <c r="S5" i="1"/>
  <c r="R5" i="1"/>
  <c r="Q5" i="1"/>
  <c r="P5" i="1"/>
  <c r="O5" i="1"/>
  <c r="N5" i="1"/>
  <c r="M5" i="1"/>
  <c r="L5" i="1"/>
  <c r="S4" i="1"/>
  <c r="R4" i="1"/>
  <c r="Q4" i="1"/>
  <c r="P4" i="1"/>
  <c r="O4" i="1"/>
  <c r="N4" i="1"/>
  <c r="M4" i="1"/>
  <c r="L4" i="1"/>
  <c r="S3" i="1"/>
  <c r="R3" i="1"/>
  <c r="Q3" i="1"/>
  <c r="P3" i="1"/>
  <c r="O3" i="1"/>
  <c r="N3" i="1"/>
  <c r="M3" i="1"/>
  <c r="L3" i="1"/>
  <c r="S2" i="1"/>
  <c r="R2" i="1"/>
  <c r="Q2" i="1"/>
  <c r="P2" i="1"/>
  <c r="O2" i="1"/>
  <c r="N2" i="1"/>
  <c r="M2" i="1"/>
  <c r="L2" i="1"/>
  <c r="L76" i="1"/>
  <c r="M76" i="1"/>
  <c r="N76" i="1"/>
  <c r="O76" i="1"/>
  <c r="P76" i="1"/>
  <c r="Q76" i="1"/>
  <c r="R76" i="1"/>
  <c r="S76" i="1"/>
  <c r="L77" i="1"/>
  <c r="M77" i="1"/>
  <c r="N77" i="1"/>
  <c r="O77" i="1"/>
  <c r="P77" i="1"/>
  <c r="Q77" i="1"/>
  <c r="R77" i="1"/>
  <c r="S77" i="1"/>
  <c r="L78" i="1"/>
  <c r="M78" i="1"/>
  <c r="N78" i="1"/>
  <c r="O78" i="1"/>
  <c r="P78" i="1"/>
  <c r="Q78" i="1"/>
  <c r="R78" i="1"/>
  <c r="S78" i="1"/>
  <c r="L79" i="1"/>
  <c r="M79" i="1"/>
  <c r="N79" i="1"/>
  <c r="O79" i="1"/>
  <c r="P79" i="1"/>
  <c r="Q79" i="1"/>
  <c r="R79" i="1"/>
  <c r="S79" i="1"/>
  <c r="L80" i="1"/>
  <c r="M80" i="1"/>
  <c r="N80" i="1"/>
  <c r="O80" i="1"/>
  <c r="P80" i="1"/>
  <c r="Q80" i="1"/>
  <c r="R80" i="1"/>
  <c r="S80" i="1"/>
  <c r="L81" i="1"/>
  <c r="M81" i="1"/>
  <c r="N81" i="1"/>
  <c r="O81" i="1"/>
  <c r="P81" i="1"/>
  <c r="Q81" i="1"/>
  <c r="R81" i="1"/>
  <c r="S81" i="1"/>
  <c r="L82" i="1"/>
  <c r="M82" i="1"/>
  <c r="N82" i="1"/>
  <c r="O82" i="1"/>
  <c r="P82" i="1"/>
  <c r="Q82" i="1"/>
  <c r="R82" i="1"/>
  <c r="S82" i="1"/>
  <c r="L83" i="1"/>
  <c r="M83" i="1"/>
  <c r="N83" i="1"/>
  <c r="O83" i="1"/>
  <c r="P83" i="1"/>
  <c r="Q83" i="1"/>
  <c r="R83" i="1"/>
  <c r="S83" i="1"/>
  <c r="L84" i="1"/>
  <c r="M84" i="1"/>
  <c r="N84" i="1"/>
  <c r="O84" i="1"/>
  <c r="P84" i="1"/>
  <c r="Q84" i="1"/>
  <c r="R84" i="1"/>
  <c r="S84" i="1"/>
  <c r="L85" i="1"/>
  <c r="M85" i="1"/>
  <c r="N85" i="1"/>
  <c r="O85" i="1"/>
  <c r="P85" i="1"/>
  <c r="Q85" i="1"/>
  <c r="R85" i="1"/>
  <c r="S85" i="1"/>
  <c r="L86" i="1"/>
  <c r="M86" i="1"/>
  <c r="N86" i="1"/>
  <c r="O86" i="1"/>
  <c r="P86" i="1"/>
  <c r="Q86" i="1"/>
  <c r="R86" i="1"/>
  <c r="S86" i="1"/>
  <c r="L87" i="1"/>
  <c r="M87" i="1"/>
  <c r="N87" i="1"/>
  <c r="O87" i="1"/>
  <c r="P87" i="1"/>
  <c r="Q87" i="1"/>
  <c r="R87" i="1"/>
  <c r="S87" i="1"/>
  <c r="L88" i="1"/>
  <c r="M88" i="1"/>
  <c r="N88" i="1"/>
  <c r="O88" i="1"/>
  <c r="P88" i="1"/>
  <c r="Q88" i="1"/>
  <c r="R88" i="1"/>
  <c r="S88" i="1"/>
  <c r="L89" i="1"/>
  <c r="M89" i="1"/>
  <c r="N89" i="1"/>
  <c r="O89" i="1"/>
  <c r="P89" i="1"/>
  <c r="Q89" i="1"/>
  <c r="R89" i="1"/>
  <c r="S89" i="1"/>
  <c r="L90" i="1"/>
  <c r="M90" i="1"/>
  <c r="N90" i="1"/>
  <c r="O90" i="1"/>
  <c r="P90" i="1"/>
  <c r="Q90" i="1"/>
  <c r="R90" i="1"/>
  <c r="S90" i="1"/>
  <c r="L91" i="1"/>
  <c r="M91" i="1"/>
  <c r="N91" i="1"/>
  <c r="O91" i="1"/>
  <c r="P91" i="1"/>
  <c r="Q91" i="1"/>
  <c r="R91" i="1"/>
  <c r="S91" i="1"/>
  <c r="L92" i="1"/>
  <c r="M92" i="1"/>
  <c r="N92" i="1"/>
  <c r="O92" i="1"/>
  <c r="P92" i="1"/>
  <c r="Q92" i="1"/>
  <c r="R92" i="1"/>
  <c r="S92" i="1"/>
  <c r="L93" i="1"/>
  <c r="M93" i="1"/>
  <c r="N93" i="1"/>
  <c r="O93" i="1"/>
  <c r="P93" i="1"/>
  <c r="Q93" i="1"/>
  <c r="R93" i="1"/>
  <c r="S93" i="1"/>
  <c r="L94" i="1"/>
  <c r="M94" i="1"/>
  <c r="N94" i="1"/>
  <c r="O94" i="1"/>
  <c r="P94" i="1"/>
  <c r="Q94" i="1"/>
  <c r="R94" i="1"/>
  <c r="S94" i="1"/>
  <c r="L95" i="1"/>
  <c r="M95" i="1"/>
  <c r="N95" i="1"/>
  <c r="O95" i="1"/>
  <c r="P95" i="1"/>
  <c r="Q95" i="1"/>
  <c r="R95" i="1"/>
  <c r="S95" i="1"/>
  <c r="L96" i="1"/>
  <c r="M96" i="1"/>
  <c r="N96" i="1"/>
  <c r="O96" i="1"/>
  <c r="P96" i="1"/>
  <c r="Q96" i="1"/>
  <c r="R96" i="1"/>
  <c r="S96" i="1"/>
  <c r="L97" i="1"/>
  <c r="M97" i="1"/>
  <c r="N97" i="1"/>
  <c r="O97" i="1"/>
  <c r="P97" i="1"/>
  <c r="Q97" i="1"/>
  <c r="R97" i="1"/>
  <c r="S97" i="1"/>
  <c r="L98" i="1"/>
  <c r="M98" i="1"/>
  <c r="N98" i="1"/>
  <c r="O98" i="1"/>
  <c r="P98" i="1"/>
  <c r="Q98" i="1"/>
  <c r="R98" i="1"/>
  <c r="S98" i="1"/>
  <c r="L99" i="1"/>
  <c r="M99" i="1"/>
  <c r="N99" i="1"/>
  <c r="O99" i="1"/>
  <c r="P99" i="1"/>
  <c r="Q99" i="1"/>
  <c r="R99" i="1"/>
  <c r="S99" i="1"/>
  <c r="L100" i="1"/>
  <c r="M100" i="1"/>
  <c r="N100" i="1"/>
  <c r="O100" i="1"/>
  <c r="P100" i="1"/>
  <c r="Q100" i="1"/>
  <c r="R100" i="1"/>
  <c r="S100" i="1"/>
  <c r="L101" i="1"/>
  <c r="M101" i="1"/>
  <c r="N101" i="1"/>
  <c r="O101" i="1"/>
  <c r="P101" i="1"/>
  <c r="Q101" i="1"/>
  <c r="R101" i="1"/>
  <c r="S101" i="1"/>
  <c r="L102" i="1"/>
  <c r="M102" i="1"/>
  <c r="N102" i="1"/>
  <c r="O102" i="1"/>
  <c r="P102" i="1"/>
  <c r="Q102" i="1"/>
  <c r="R102" i="1"/>
  <c r="S102" i="1"/>
  <c r="L103" i="1"/>
  <c r="M103" i="1"/>
  <c r="N103" i="1"/>
  <c r="O103" i="1"/>
  <c r="P103" i="1"/>
  <c r="Q103" i="1"/>
  <c r="R103" i="1"/>
  <c r="S103" i="1"/>
  <c r="L104" i="1"/>
  <c r="M104" i="1"/>
  <c r="N104" i="1"/>
  <c r="O104" i="1"/>
  <c r="P104" i="1"/>
  <c r="Q104" i="1"/>
  <c r="R104" i="1"/>
  <c r="S104" i="1"/>
  <c r="L105" i="1"/>
  <c r="M105" i="1"/>
  <c r="N105" i="1"/>
  <c r="O105" i="1"/>
  <c r="P105" i="1"/>
  <c r="Q105" i="1"/>
  <c r="R105" i="1"/>
  <c r="S105" i="1"/>
  <c r="L106" i="1"/>
  <c r="M106" i="1"/>
  <c r="N106" i="1"/>
  <c r="O106" i="1"/>
  <c r="P106" i="1"/>
  <c r="Q106" i="1"/>
  <c r="R106" i="1"/>
  <c r="S106" i="1"/>
  <c r="L107" i="1"/>
  <c r="M107" i="1"/>
  <c r="N107" i="1"/>
  <c r="O107" i="1"/>
  <c r="P107" i="1"/>
  <c r="Q107" i="1"/>
  <c r="R107" i="1"/>
  <c r="S107" i="1"/>
  <c r="L108" i="1"/>
  <c r="M108" i="1"/>
  <c r="N108" i="1"/>
  <c r="O108" i="1"/>
  <c r="P108" i="1"/>
  <c r="Q108" i="1"/>
  <c r="R108" i="1"/>
  <c r="S108" i="1"/>
  <c r="L109" i="1"/>
  <c r="M109" i="1"/>
  <c r="N109" i="1"/>
  <c r="O109" i="1"/>
  <c r="P109" i="1"/>
  <c r="Q109" i="1"/>
  <c r="R109" i="1"/>
  <c r="S109" i="1"/>
  <c r="L110" i="1"/>
  <c r="M110" i="1"/>
  <c r="N110" i="1"/>
  <c r="O110" i="1"/>
  <c r="P110" i="1"/>
  <c r="Q110" i="1"/>
  <c r="R110" i="1"/>
  <c r="S110" i="1"/>
  <c r="L111" i="1"/>
  <c r="M111" i="1"/>
  <c r="N111" i="1"/>
  <c r="O111" i="1"/>
  <c r="P111" i="1"/>
  <c r="Q111" i="1"/>
  <c r="R111" i="1"/>
  <c r="S111" i="1"/>
  <c r="L112" i="1"/>
  <c r="M112" i="1"/>
  <c r="N112" i="1"/>
  <c r="O112" i="1"/>
  <c r="P112" i="1"/>
  <c r="Q112" i="1"/>
  <c r="R112" i="1"/>
  <c r="S112" i="1"/>
  <c r="L113" i="1"/>
  <c r="M113" i="1"/>
  <c r="N113" i="1"/>
  <c r="O113" i="1"/>
  <c r="P113" i="1"/>
  <c r="Q113" i="1"/>
  <c r="R113" i="1"/>
  <c r="S113" i="1"/>
  <c r="L114" i="1"/>
  <c r="M114" i="1"/>
  <c r="N114" i="1"/>
  <c r="O114" i="1"/>
  <c r="P114" i="1"/>
  <c r="Q114" i="1"/>
  <c r="R114" i="1"/>
  <c r="S114" i="1"/>
  <c r="L115" i="1"/>
  <c r="M115" i="1"/>
  <c r="N115" i="1"/>
  <c r="O115" i="1"/>
  <c r="P115" i="1"/>
  <c r="Q115" i="1"/>
  <c r="R115" i="1"/>
  <c r="S115" i="1"/>
  <c r="L116" i="1"/>
  <c r="M116" i="1"/>
  <c r="N116" i="1"/>
  <c r="O116" i="1"/>
  <c r="P116" i="1"/>
  <c r="Q116" i="1"/>
  <c r="R116" i="1"/>
  <c r="S116" i="1"/>
  <c r="L117" i="1"/>
  <c r="M117" i="1"/>
  <c r="N117" i="1"/>
  <c r="O117" i="1"/>
  <c r="P117" i="1"/>
  <c r="Q117" i="1"/>
  <c r="R117" i="1"/>
  <c r="S117" i="1"/>
  <c r="L118" i="1"/>
  <c r="M118" i="1"/>
  <c r="N118" i="1"/>
  <c r="O118" i="1"/>
  <c r="P118" i="1"/>
  <c r="Q118" i="1"/>
  <c r="R118" i="1"/>
  <c r="S118" i="1"/>
  <c r="L119" i="1"/>
  <c r="M119" i="1"/>
  <c r="N119" i="1"/>
  <c r="O119" i="1"/>
  <c r="P119" i="1"/>
  <c r="Q119" i="1"/>
  <c r="R119" i="1"/>
  <c r="S119" i="1"/>
  <c r="L120" i="1"/>
  <c r="M120" i="1"/>
  <c r="N120" i="1"/>
  <c r="O120" i="1"/>
  <c r="P120" i="1"/>
  <c r="Q120" i="1"/>
  <c r="R120" i="1"/>
  <c r="S120" i="1"/>
  <c r="L121" i="1"/>
  <c r="M121" i="1"/>
  <c r="N121" i="1"/>
  <c r="O121" i="1"/>
  <c r="P121" i="1"/>
  <c r="Q121" i="1"/>
  <c r="R121" i="1"/>
  <c r="S121" i="1"/>
  <c r="L122" i="1"/>
  <c r="M122" i="1"/>
  <c r="N122" i="1"/>
  <c r="O122" i="1"/>
  <c r="P122" i="1"/>
  <c r="Q122" i="1"/>
  <c r="R122" i="1"/>
  <c r="S122" i="1"/>
  <c r="L123" i="1"/>
  <c r="M123" i="1"/>
  <c r="N123" i="1"/>
  <c r="O123" i="1"/>
  <c r="P123" i="1"/>
  <c r="Q123" i="1"/>
  <c r="R123" i="1"/>
  <c r="S123" i="1"/>
  <c r="L124" i="1"/>
  <c r="M124" i="1"/>
  <c r="N124" i="1"/>
  <c r="O124" i="1"/>
  <c r="P124" i="1"/>
  <c r="Q124" i="1"/>
  <c r="R124" i="1"/>
  <c r="S124" i="1"/>
  <c r="L125" i="1"/>
  <c r="M125" i="1"/>
  <c r="N125" i="1"/>
  <c r="O125" i="1"/>
  <c r="P125" i="1"/>
  <c r="Q125" i="1"/>
  <c r="R125" i="1"/>
  <c r="S125" i="1"/>
  <c r="L126" i="1"/>
  <c r="M126" i="1"/>
  <c r="N126" i="1"/>
  <c r="O126" i="1"/>
  <c r="P126" i="1"/>
  <c r="Q126" i="1"/>
  <c r="R126" i="1"/>
  <c r="S126" i="1"/>
  <c r="L127" i="1"/>
  <c r="M127" i="1"/>
  <c r="N127" i="1"/>
  <c r="O127" i="1"/>
  <c r="P127" i="1"/>
  <c r="Q127" i="1"/>
  <c r="R127" i="1"/>
  <c r="S127" i="1"/>
  <c r="L128" i="1"/>
  <c r="M128" i="1"/>
  <c r="N128" i="1"/>
  <c r="O128" i="1"/>
  <c r="P128" i="1"/>
  <c r="Q128" i="1"/>
  <c r="R128" i="1"/>
  <c r="S128" i="1"/>
  <c r="L129" i="1"/>
  <c r="M129" i="1"/>
  <c r="N129" i="1"/>
  <c r="O129" i="1"/>
  <c r="P129" i="1"/>
  <c r="Q129" i="1"/>
  <c r="R129" i="1"/>
  <c r="S129" i="1"/>
  <c r="L130" i="1"/>
  <c r="M130" i="1"/>
  <c r="N130" i="1"/>
  <c r="O130" i="1"/>
  <c r="P130" i="1"/>
  <c r="Q130" i="1"/>
  <c r="R130" i="1"/>
  <c r="S130" i="1"/>
  <c r="L131" i="1"/>
  <c r="M131" i="1"/>
  <c r="N131" i="1"/>
  <c r="O131" i="1"/>
  <c r="P131" i="1"/>
  <c r="Q131" i="1"/>
  <c r="R131" i="1"/>
  <c r="S131" i="1"/>
  <c r="L132" i="1"/>
  <c r="M132" i="1"/>
  <c r="N132" i="1"/>
  <c r="O132" i="1"/>
  <c r="P132" i="1"/>
  <c r="Q132" i="1"/>
  <c r="R132" i="1"/>
  <c r="S132" i="1"/>
  <c r="L133" i="1"/>
  <c r="M133" i="1"/>
  <c r="N133" i="1"/>
  <c r="O133" i="1"/>
  <c r="P133" i="1"/>
  <c r="Q133" i="1"/>
  <c r="R133" i="1"/>
  <c r="S133" i="1"/>
  <c r="L134" i="1"/>
  <c r="M134" i="1"/>
  <c r="N134" i="1"/>
  <c r="O134" i="1"/>
  <c r="P134" i="1"/>
  <c r="Q134" i="1"/>
  <c r="R134" i="1"/>
  <c r="S134" i="1"/>
  <c r="L135" i="1"/>
  <c r="M135" i="1"/>
  <c r="N135" i="1"/>
  <c r="O135" i="1"/>
  <c r="P135" i="1"/>
  <c r="Q135" i="1"/>
  <c r="R135" i="1"/>
  <c r="S135" i="1"/>
  <c r="L136" i="1"/>
  <c r="M136" i="1"/>
  <c r="N136" i="1"/>
  <c r="O136" i="1"/>
  <c r="P136" i="1"/>
  <c r="Q136" i="1"/>
  <c r="R136" i="1"/>
  <c r="S136" i="1"/>
  <c r="L137" i="1"/>
  <c r="M137" i="1"/>
  <c r="N137" i="1"/>
  <c r="O137" i="1"/>
  <c r="P137" i="1"/>
  <c r="Q137" i="1"/>
  <c r="R137" i="1"/>
  <c r="S137" i="1"/>
  <c r="L138" i="1"/>
  <c r="M138" i="1"/>
  <c r="N138" i="1"/>
  <c r="O138" i="1"/>
  <c r="P138" i="1"/>
  <c r="Q138" i="1"/>
  <c r="R138" i="1"/>
  <c r="S138" i="1"/>
  <c r="L139" i="1"/>
  <c r="M139" i="1"/>
  <c r="N139" i="1"/>
  <c r="O139" i="1"/>
  <c r="P139" i="1"/>
  <c r="Q139" i="1"/>
  <c r="R139" i="1"/>
  <c r="S139" i="1"/>
  <c r="L140" i="1"/>
  <c r="M140" i="1"/>
  <c r="N140" i="1"/>
  <c r="O140" i="1"/>
  <c r="P140" i="1"/>
  <c r="Q140" i="1"/>
  <c r="R140" i="1"/>
  <c r="S140" i="1"/>
  <c r="L141" i="1"/>
  <c r="M141" i="1"/>
  <c r="N141" i="1"/>
  <c r="O141" i="1"/>
  <c r="P141" i="1"/>
  <c r="Q141" i="1"/>
  <c r="R141" i="1"/>
  <c r="S141" i="1"/>
  <c r="L142" i="1"/>
  <c r="M142" i="1"/>
  <c r="N142" i="1"/>
  <c r="O142" i="1"/>
  <c r="P142" i="1"/>
  <c r="Q142" i="1"/>
  <c r="R142" i="1"/>
  <c r="S142" i="1"/>
  <c r="L143" i="1"/>
  <c r="M143" i="1"/>
  <c r="N143" i="1"/>
  <c r="O143" i="1"/>
  <c r="P143" i="1"/>
  <c r="Q143" i="1"/>
  <c r="R143" i="1"/>
  <c r="S143" i="1"/>
  <c r="L144" i="1"/>
  <c r="M144" i="1"/>
  <c r="N144" i="1"/>
  <c r="O144" i="1"/>
  <c r="P144" i="1"/>
  <c r="Q144" i="1"/>
  <c r="R144" i="1"/>
  <c r="S144" i="1"/>
  <c r="L145" i="1"/>
  <c r="M145" i="1"/>
  <c r="N145" i="1"/>
  <c r="O145" i="1"/>
  <c r="P145" i="1"/>
  <c r="Q145" i="1"/>
  <c r="R145" i="1"/>
  <c r="S145" i="1"/>
  <c r="L146" i="1"/>
  <c r="M146" i="1"/>
  <c r="N146" i="1"/>
  <c r="O146" i="1"/>
  <c r="P146" i="1"/>
  <c r="Q146" i="1"/>
  <c r="R146" i="1"/>
  <c r="S146" i="1"/>
  <c r="L147" i="1"/>
  <c r="M147" i="1"/>
  <c r="N147" i="1"/>
  <c r="O147" i="1"/>
  <c r="P147" i="1"/>
  <c r="Q147" i="1"/>
  <c r="R147" i="1"/>
  <c r="S147" i="1"/>
  <c r="L148" i="1"/>
  <c r="M148" i="1"/>
  <c r="N148" i="1"/>
  <c r="O148" i="1"/>
  <c r="P148" i="1"/>
  <c r="Q148" i="1"/>
  <c r="R148" i="1"/>
  <c r="S148" i="1"/>
  <c r="L149" i="1"/>
  <c r="M149" i="1"/>
  <c r="N149" i="1"/>
  <c r="O149" i="1"/>
  <c r="P149" i="1"/>
  <c r="Q149" i="1"/>
  <c r="R149" i="1"/>
  <c r="S149" i="1"/>
  <c r="L150" i="1"/>
  <c r="M150" i="1"/>
  <c r="N150" i="1"/>
  <c r="O150" i="1"/>
  <c r="P150" i="1"/>
  <c r="Q150" i="1"/>
  <c r="R150" i="1"/>
  <c r="S150" i="1"/>
  <c r="L151" i="1"/>
  <c r="M151" i="1"/>
  <c r="N151" i="1"/>
  <c r="O151" i="1"/>
  <c r="P151" i="1"/>
  <c r="Q151" i="1"/>
  <c r="R151" i="1"/>
  <c r="S151" i="1"/>
  <c r="L152" i="1"/>
  <c r="M152" i="1"/>
  <c r="N152" i="1"/>
  <c r="O152" i="1"/>
  <c r="P152" i="1"/>
  <c r="Q152" i="1"/>
  <c r="R152" i="1"/>
  <c r="S152" i="1"/>
  <c r="L153" i="1"/>
  <c r="M153" i="1"/>
  <c r="N153" i="1"/>
  <c r="O153" i="1"/>
  <c r="P153" i="1"/>
  <c r="Q153" i="1"/>
  <c r="R153" i="1"/>
  <c r="S153" i="1"/>
  <c r="L154" i="1"/>
  <c r="M154" i="1"/>
  <c r="N154" i="1"/>
  <c r="O154" i="1"/>
  <c r="P154" i="1"/>
  <c r="Q154" i="1"/>
  <c r="R154" i="1"/>
  <c r="S154" i="1"/>
  <c r="L155" i="1"/>
  <c r="M155" i="1"/>
  <c r="N155" i="1"/>
  <c r="O155" i="1"/>
  <c r="P155" i="1"/>
  <c r="Q155" i="1"/>
  <c r="R155" i="1"/>
  <c r="S155" i="1"/>
  <c r="L156" i="1"/>
  <c r="M156" i="1"/>
  <c r="N156" i="1"/>
  <c r="O156" i="1"/>
  <c r="P156" i="1"/>
  <c r="Q156" i="1"/>
  <c r="R156" i="1"/>
  <c r="S156" i="1"/>
  <c r="L157" i="1"/>
  <c r="M157" i="1"/>
  <c r="N157" i="1"/>
  <c r="O157" i="1"/>
  <c r="P157" i="1"/>
  <c r="Q157" i="1"/>
  <c r="R157" i="1"/>
  <c r="S157" i="1"/>
  <c r="L158" i="1"/>
  <c r="M158" i="1"/>
  <c r="N158" i="1"/>
  <c r="O158" i="1"/>
  <c r="P158" i="1"/>
  <c r="Q158" i="1"/>
  <c r="R158" i="1"/>
  <c r="S158" i="1"/>
  <c r="L159" i="1"/>
  <c r="M159" i="1"/>
  <c r="N159" i="1"/>
  <c r="O159" i="1"/>
  <c r="P159" i="1"/>
  <c r="Q159" i="1"/>
  <c r="R159" i="1"/>
  <c r="S159" i="1"/>
  <c r="L160" i="1"/>
  <c r="M160" i="1"/>
  <c r="N160" i="1"/>
  <c r="O160" i="1"/>
  <c r="P160" i="1"/>
  <c r="Q160" i="1"/>
  <c r="R160" i="1"/>
  <c r="S160" i="1"/>
  <c r="L161" i="1"/>
  <c r="M161" i="1"/>
  <c r="N161" i="1"/>
  <c r="O161" i="1"/>
  <c r="P161" i="1"/>
  <c r="Q161" i="1"/>
  <c r="R161" i="1"/>
  <c r="S161" i="1"/>
  <c r="L162" i="1"/>
  <c r="M162" i="1"/>
  <c r="N162" i="1"/>
  <c r="O162" i="1"/>
  <c r="P162" i="1"/>
  <c r="Q162" i="1"/>
  <c r="R162" i="1"/>
  <c r="S162" i="1"/>
  <c r="L163" i="1"/>
  <c r="M163" i="1"/>
  <c r="N163" i="1"/>
  <c r="O163" i="1"/>
  <c r="P163" i="1"/>
  <c r="Q163" i="1"/>
  <c r="R163" i="1"/>
  <c r="S163" i="1"/>
  <c r="L164" i="1"/>
  <c r="M164" i="1"/>
  <c r="N164" i="1"/>
  <c r="O164" i="1"/>
  <c r="P164" i="1"/>
  <c r="Q164" i="1"/>
  <c r="R164" i="1"/>
  <c r="S164" i="1"/>
  <c r="L165" i="1"/>
  <c r="M165" i="1"/>
  <c r="N165" i="1"/>
  <c r="O165" i="1"/>
  <c r="P165" i="1"/>
  <c r="Q165" i="1"/>
  <c r="R165" i="1"/>
  <c r="S165" i="1"/>
  <c r="L166" i="1"/>
  <c r="M166" i="1"/>
  <c r="N166" i="1"/>
  <c r="O166" i="1"/>
  <c r="P166" i="1"/>
  <c r="Q166" i="1"/>
  <c r="R166" i="1"/>
  <c r="S166" i="1"/>
  <c r="L167" i="1"/>
  <c r="M167" i="1"/>
  <c r="N167" i="1"/>
  <c r="O167" i="1"/>
  <c r="P167" i="1"/>
  <c r="Q167" i="1"/>
  <c r="R167" i="1"/>
  <c r="S167" i="1"/>
  <c r="L168" i="1"/>
  <c r="M168" i="1"/>
  <c r="N168" i="1"/>
  <c r="O168" i="1"/>
  <c r="P168" i="1"/>
  <c r="Q168" i="1"/>
  <c r="R168" i="1"/>
  <c r="S168" i="1"/>
  <c r="L169" i="1"/>
  <c r="M169" i="1"/>
  <c r="N169" i="1"/>
  <c r="O169" i="1"/>
  <c r="P169" i="1"/>
  <c r="Q169" i="1"/>
  <c r="R169" i="1"/>
  <c r="S169" i="1"/>
  <c r="L170" i="1"/>
  <c r="M170" i="1"/>
  <c r="N170" i="1"/>
  <c r="O170" i="1"/>
  <c r="P170" i="1"/>
  <c r="Q170" i="1"/>
  <c r="R170" i="1"/>
  <c r="S170" i="1"/>
  <c r="L171" i="1"/>
  <c r="M171" i="1"/>
  <c r="N171" i="1"/>
  <c r="O171" i="1"/>
  <c r="P171" i="1"/>
  <c r="Q171" i="1"/>
  <c r="R171" i="1"/>
  <c r="S171" i="1"/>
  <c r="L172" i="1"/>
  <c r="M172" i="1"/>
  <c r="N172" i="1"/>
  <c r="O172" i="1"/>
  <c r="P172" i="1"/>
  <c r="Q172" i="1"/>
  <c r="R172" i="1"/>
  <c r="S172" i="1"/>
  <c r="L173" i="1"/>
  <c r="M173" i="1"/>
  <c r="N173" i="1"/>
  <c r="O173" i="1"/>
  <c r="P173" i="1"/>
  <c r="Q173" i="1"/>
  <c r="R173" i="1"/>
  <c r="S173" i="1"/>
  <c r="L174" i="1"/>
  <c r="M174" i="1"/>
  <c r="N174" i="1"/>
  <c r="O174" i="1"/>
  <c r="P174" i="1"/>
  <c r="Q174" i="1"/>
  <c r="R174" i="1"/>
  <c r="S174" i="1"/>
  <c r="L175" i="1"/>
  <c r="M175" i="1"/>
  <c r="N175" i="1"/>
  <c r="O175" i="1"/>
  <c r="P175" i="1"/>
  <c r="Q175" i="1"/>
  <c r="R175" i="1"/>
  <c r="S175" i="1"/>
  <c r="L176" i="1"/>
  <c r="M176" i="1"/>
  <c r="N176" i="1"/>
  <c r="O176" i="1"/>
  <c r="P176" i="1"/>
  <c r="Q176" i="1"/>
  <c r="R176" i="1"/>
  <c r="S176" i="1"/>
  <c r="L177" i="1"/>
  <c r="M177" i="1"/>
  <c r="N177" i="1"/>
  <c r="O177" i="1"/>
  <c r="P177" i="1"/>
  <c r="Q177" i="1"/>
  <c r="R177" i="1"/>
  <c r="S177" i="1"/>
  <c r="L178" i="1"/>
  <c r="M178" i="1"/>
  <c r="N178" i="1"/>
  <c r="O178" i="1"/>
  <c r="P178" i="1"/>
  <c r="Q178" i="1"/>
  <c r="R178" i="1"/>
  <c r="S178" i="1"/>
  <c r="L179" i="1"/>
  <c r="M179" i="1"/>
  <c r="N179" i="1"/>
  <c r="O179" i="1"/>
  <c r="P179" i="1"/>
  <c r="Q179" i="1"/>
  <c r="R179" i="1"/>
  <c r="S179" i="1"/>
  <c r="L180" i="1"/>
  <c r="M180" i="1"/>
  <c r="N180" i="1"/>
  <c r="O180" i="1"/>
  <c r="P180" i="1"/>
  <c r="Q180" i="1"/>
  <c r="R180" i="1"/>
  <c r="S180" i="1"/>
  <c r="L181" i="1"/>
  <c r="M181" i="1"/>
  <c r="N181" i="1"/>
  <c r="O181" i="1"/>
  <c r="P181" i="1"/>
  <c r="Q181" i="1"/>
  <c r="R181" i="1"/>
  <c r="S181" i="1"/>
  <c r="L182" i="1"/>
  <c r="M182" i="1"/>
  <c r="N182" i="1"/>
  <c r="O182" i="1"/>
  <c r="P182" i="1"/>
  <c r="Q182" i="1"/>
  <c r="R182" i="1"/>
  <c r="S182" i="1"/>
  <c r="L183" i="1"/>
  <c r="M183" i="1"/>
  <c r="N183" i="1"/>
  <c r="O183" i="1"/>
  <c r="P183" i="1"/>
  <c r="Q183" i="1"/>
  <c r="R183" i="1"/>
  <c r="S183" i="1"/>
  <c r="L184" i="1"/>
  <c r="M184" i="1"/>
  <c r="N184" i="1"/>
  <c r="O184" i="1"/>
  <c r="P184" i="1"/>
  <c r="Q184" i="1"/>
  <c r="R184" i="1"/>
  <c r="S184" i="1"/>
  <c r="L185" i="1"/>
  <c r="M185" i="1"/>
  <c r="N185" i="1"/>
  <c r="O185" i="1"/>
  <c r="P185" i="1"/>
  <c r="Q185" i="1"/>
  <c r="R185" i="1"/>
  <c r="S185" i="1"/>
  <c r="L186" i="1"/>
  <c r="M186" i="1"/>
  <c r="N186" i="1"/>
  <c r="O186" i="1"/>
  <c r="P186" i="1"/>
  <c r="Q186" i="1"/>
  <c r="R186" i="1"/>
  <c r="S186" i="1"/>
  <c r="L187" i="1"/>
  <c r="M187" i="1"/>
  <c r="N187" i="1"/>
  <c r="O187" i="1"/>
  <c r="P187" i="1"/>
  <c r="Q187" i="1"/>
  <c r="R187" i="1"/>
  <c r="S187" i="1"/>
  <c r="L188" i="1"/>
  <c r="M188" i="1"/>
  <c r="N188" i="1"/>
  <c r="O188" i="1"/>
  <c r="P188" i="1"/>
  <c r="Q188" i="1"/>
  <c r="R188" i="1"/>
  <c r="S188" i="1"/>
  <c r="L189" i="1"/>
  <c r="M189" i="1"/>
  <c r="N189" i="1"/>
  <c r="O189" i="1"/>
  <c r="P189" i="1"/>
  <c r="Q189" i="1"/>
  <c r="R189" i="1"/>
  <c r="S189" i="1"/>
  <c r="L190" i="1"/>
  <c r="M190" i="1"/>
  <c r="N190" i="1"/>
  <c r="O190" i="1"/>
  <c r="P190" i="1"/>
  <c r="Q190" i="1"/>
  <c r="R190" i="1"/>
  <c r="S190" i="1"/>
  <c r="L191" i="1"/>
  <c r="M191" i="1"/>
  <c r="N191" i="1"/>
  <c r="O191" i="1"/>
  <c r="P191" i="1"/>
  <c r="Q191" i="1"/>
  <c r="R191" i="1"/>
  <c r="S191" i="1"/>
  <c r="L192" i="1"/>
  <c r="M192" i="1"/>
  <c r="N192" i="1"/>
  <c r="O192" i="1"/>
  <c r="P192" i="1"/>
  <c r="Q192" i="1"/>
  <c r="R192" i="1"/>
  <c r="S192" i="1"/>
  <c r="L193" i="1"/>
  <c r="M193" i="1"/>
  <c r="N193" i="1"/>
  <c r="O193" i="1"/>
  <c r="P193" i="1"/>
  <c r="Q193" i="1"/>
  <c r="R193" i="1"/>
  <c r="S193" i="1"/>
  <c r="L194" i="1"/>
  <c r="M194" i="1"/>
  <c r="N194" i="1"/>
  <c r="O194" i="1"/>
  <c r="P194" i="1"/>
  <c r="Q194" i="1"/>
  <c r="R194" i="1"/>
  <c r="S194" i="1"/>
  <c r="L195" i="1"/>
  <c r="M195" i="1"/>
  <c r="N195" i="1"/>
  <c r="O195" i="1"/>
  <c r="P195" i="1"/>
  <c r="Q195" i="1"/>
  <c r="R195" i="1"/>
  <c r="S195" i="1"/>
  <c r="L196" i="1"/>
  <c r="M196" i="1"/>
  <c r="N196" i="1"/>
  <c r="O196" i="1"/>
  <c r="P196" i="1"/>
  <c r="Q196" i="1"/>
  <c r="R196" i="1"/>
  <c r="S196" i="1"/>
  <c r="L197" i="1"/>
  <c r="M197" i="1"/>
  <c r="N197" i="1"/>
  <c r="O197" i="1"/>
  <c r="P197" i="1"/>
  <c r="Q197" i="1"/>
  <c r="R197" i="1"/>
  <c r="S197" i="1"/>
  <c r="L198" i="1"/>
  <c r="M198" i="1"/>
  <c r="N198" i="1"/>
  <c r="O198" i="1"/>
  <c r="P198" i="1"/>
  <c r="Q198" i="1"/>
  <c r="R198" i="1"/>
  <c r="S198" i="1"/>
  <c r="L199" i="1"/>
  <c r="M199" i="1"/>
  <c r="N199" i="1"/>
  <c r="O199" i="1"/>
  <c r="P199" i="1"/>
  <c r="Q199" i="1"/>
  <c r="R199" i="1"/>
  <c r="S199" i="1"/>
  <c r="L200" i="1"/>
  <c r="M200" i="1"/>
  <c r="N200" i="1"/>
  <c r="O200" i="1"/>
  <c r="P200" i="1"/>
  <c r="Q200" i="1"/>
  <c r="R200" i="1"/>
  <c r="S200" i="1"/>
  <c r="L201" i="1"/>
  <c r="M201" i="1"/>
  <c r="N201" i="1"/>
  <c r="O201" i="1"/>
  <c r="P201" i="1"/>
  <c r="Q201" i="1"/>
  <c r="R201" i="1"/>
  <c r="S201" i="1"/>
  <c r="L202" i="1"/>
  <c r="M202" i="1"/>
  <c r="N202" i="1"/>
  <c r="O202" i="1"/>
  <c r="P202" i="1"/>
  <c r="Q202" i="1"/>
  <c r="R202" i="1"/>
  <c r="S202" i="1"/>
  <c r="L203" i="1"/>
  <c r="M203" i="1"/>
  <c r="N203" i="1"/>
  <c r="O203" i="1"/>
  <c r="P203" i="1"/>
  <c r="Q203" i="1"/>
  <c r="R203" i="1"/>
  <c r="S203" i="1"/>
  <c r="L204" i="1"/>
  <c r="M204" i="1"/>
  <c r="N204" i="1"/>
  <c r="O204" i="1"/>
  <c r="P204" i="1"/>
  <c r="Q204" i="1"/>
  <c r="R204" i="1"/>
  <c r="S204" i="1"/>
  <c r="L205" i="1"/>
  <c r="M205" i="1"/>
  <c r="N205" i="1"/>
  <c r="O205" i="1"/>
  <c r="P205" i="1"/>
  <c r="Q205" i="1"/>
  <c r="R205" i="1"/>
  <c r="S205" i="1"/>
  <c r="L206" i="1"/>
  <c r="M206" i="1"/>
  <c r="N206" i="1"/>
  <c r="O206" i="1"/>
  <c r="P206" i="1"/>
  <c r="Q206" i="1"/>
  <c r="R206" i="1"/>
  <c r="S206" i="1"/>
  <c r="L207" i="1"/>
  <c r="M207" i="1"/>
  <c r="N207" i="1"/>
  <c r="O207" i="1"/>
  <c r="P207" i="1"/>
  <c r="Q207" i="1"/>
  <c r="R207" i="1"/>
  <c r="S207" i="1"/>
  <c r="L208" i="1"/>
  <c r="M208" i="1"/>
  <c r="N208" i="1"/>
  <c r="O208" i="1"/>
  <c r="P208" i="1"/>
  <c r="Q208" i="1"/>
  <c r="R208" i="1"/>
  <c r="S208" i="1"/>
  <c r="L209" i="1"/>
  <c r="M209" i="1"/>
  <c r="N209" i="1"/>
  <c r="O209" i="1"/>
  <c r="P209" i="1"/>
  <c r="Q209" i="1"/>
  <c r="R209" i="1"/>
  <c r="S209" i="1"/>
  <c r="L210" i="1"/>
  <c r="M210" i="1"/>
  <c r="N210" i="1"/>
  <c r="O210" i="1"/>
  <c r="P210" i="1"/>
  <c r="Q210" i="1"/>
  <c r="R210" i="1"/>
  <c r="S210" i="1"/>
  <c r="L211" i="1"/>
  <c r="M211" i="1"/>
  <c r="N211" i="1"/>
  <c r="O211" i="1"/>
  <c r="P211" i="1"/>
  <c r="Q211" i="1"/>
  <c r="R211" i="1"/>
  <c r="S211" i="1"/>
  <c r="L212" i="1"/>
  <c r="M212" i="1"/>
  <c r="N212" i="1"/>
  <c r="O212" i="1"/>
  <c r="P212" i="1"/>
  <c r="Q212" i="1"/>
  <c r="R212" i="1"/>
  <c r="S212" i="1"/>
  <c r="L213" i="1"/>
  <c r="M213" i="1"/>
  <c r="N213" i="1"/>
  <c r="O213" i="1"/>
  <c r="P213" i="1"/>
  <c r="Q213" i="1"/>
  <c r="R213" i="1"/>
  <c r="S213" i="1"/>
  <c r="L214" i="1"/>
  <c r="M214" i="1"/>
  <c r="N214" i="1"/>
  <c r="O214" i="1"/>
  <c r="P214" i="1"/>
  <c r="Q214" i="1"/>
  <c r="R214" i="1"/>
  <c r="S214" i="1"/>
  <c r="L215" i="1"/>
  <c r="M215" i="1"/>
  <c r="N215" i="1"/>
  <c r="O215" i="1"/>
  <c r="P215" i="1"/>
  <c r="Q215" i="1"/>
  <c r="R215" i="1"/>
  <c r="S215" i="1"/>
  <c r="L216" i="1"/>
  <c r="M216" i="1"/>
  <c r="N216" i="1"/>
  <c r="O216" i="1"/>
  <c r="P216" i="1"/>
  <c r="Q216" i="1"/>
  <c r="R216" i="1"/>
  <c r="S216" i="1"/>
  <c r="L217" i="1"/>
  <c r="M217" i="1"/>
  <c r="N217" i="1"/>
  <c r="O217" i="1"/>
  <c r="P217" i="1"/>
  <c r="Q217" i="1"/>
  <c r="R217" i="1"/>
  <c r="S217" i="1"/>
  <c r="L218" i="1"/>
  <c r="M218" i="1"/>
  <c r="N218" i="1"/>
  <c r="O218" i="1"/>
  <c r="P218" i="1"/>
  <c r="Q218" i="1"/>
  <c r="R218" i="1"/>
  <c r="S218" i="1"/>
  <c r="L219" i="1"/>
  <c r="M219" i="1"/>
  <c r="N219" i="1"/>
  <c r="O219" i="1"/>
  <c r="P219" i="1"/>
  <c r="Q219" i="1"/>
  <c r="R219" i="1"/>
  <c r="S219" i="1"/>
  <c r="L220" i="1"/>
  <c r="M220" i="1"/>
  <c r="N220" i="1"/>
  <c r="O220" i="1"/>
  <c r="P220" i="1"/>
  <c r="Q220" i="1"/>
  <c r="R220" i="1"/>
  <c r="S220" i="1"/>
  <c r="L221" i="1"/>
  <c r="M221" i="1"/>
  <c r="N221" i="1"/>
  <c r="O221" i="1"/>
  <c r="P221" i="1"/>
  <c r="Q221" i="1"/>
  <c r="R221" i="1"/>
  <c r="S221" i="1"/>
  <c r="L222" i="1"/>
  <c r="M222" i="1"/>
  <c r="N222" i="1"/>
  <c r="O222" i="1"/>
  <c r="P222" i="1"/>
  <c r="Q222" i="1"/>
  <c r="R222" i="1"/>
  <c r="S222" i="1"/>
  <c r="L223" i="1"/>
  <c r="M223" i="1"/>
  <c r="N223" i="1"/>
  <c r="O223" i="1"/>
  <c r="P223" i="1"/>
  <c r="Q223" i="1"/>
  <c r="R223" i="1"/>
  <c r="S223" i="1"/>
  <c r="L224" i="1"/>
  <c r="M224" i="1"/>
  <c r="N224" i="1"/>
  <c r="O224" i="1"/>
  <c r="P224" i="1"/>
  <c r="Q224" i="1"/>
  <c r="R224" i="1"/>
  <c r="S224" i="1"/>
  <c r="L225" i="1"/>
  <c r="M225" i="1"/>
  <c r="N225" i="1"/>
  <c r="O225" i="1"/>
  <c r="P225" i="1"/>
  <c r="Q225" i="1"/>
  <c r="R225" i="1"/>
  <c r="S225" i="1"/>
  <c r="L226" i="1"/>
  <c r="M226" i="1"/>
  <c r="N226" i="1"/>
  <c r="O226" i="1"/>
  <c r="P226" i="1"/>
  <c r="Q226" i="1"/>
  <c r="R226" i="1"/>
  <c r="S226" i="1"/>
  <c r="L227" i="1"/>
  <c r="M227" i="1"/>
  <c r="N227" i="1"/>
  <c r="O227" i="1"/>
  <c r="P227" i="1"/>
  <c r="Q227" i="1"/>
  <c r="R227" i="1"/>
  <c r="S227" i="1"/>
  <c r="L228" i="1"/>
  <c r="M228" i="1"/>
  <c r="N228" i="1"/>
  <c r="O228" i="1"/>
  <c r="P228" i="1"/>
  <c r="Q228" i="1"/>
  <c r="R228" i="1"/>
  <c r="S228" i="1"/>
  <c r="L229" i="1"/>
  <c r="M229" i="1"/>
  <c r="N229" i="1"/>
  <c r="O229" i="1"/>
  <c r="P229" i="1"/>
  <c r="Q229" i="1"/>
  <c r="R229" i="1"/>
  <c r="S229" i="1"/>
  <c r="L230" i="1"/>
  <c r="M230" i="1"/>
  <c r="N230" i="1"/>
  <c r="O230" i="1"/>
  <c r="P230" i="1"/>
  <c r="Q230" i="1"/>
  <c r="R230" i="1"/>
  <c r="S230" i="1"/>
  <c r="L231" i="1"/>
  <c r="M231" i="1"/>
  <c r="N231" i="1"/>
  <c r="O231" i="1"/>
  <c r="P231" i="1"/>
  <c r="Q231" i="1"/>
  <c r="R231" i="1"/>
  <c r="S231" i="1"/>
  <c r="L232" i="1"/>
  <c r="M232" i="1"/>
  <c r="N232" i="1"/>
  <c r="O232" i="1"/>
  <c r="P232" i="1"/>
  <c r="Q232" i="1"/>
  <c r="R232" i="1"/>
  <c r="S232" i="1"/>
  <c r="L233" i="1"/>
  <c r="M233" i="1"/>
  <c r="N233" i="1"/>
  <c r="O233" i="1"/>
  <c r="P233" i="1"/>
  <c r="Q233" i="1"/>
  <c r="R233" i="1"/>
  <c r="S233" i="1"/>
  <c r="L234" i="1"/>
  <c r="M234" i="1"/>
  <c r="N234" i="1"/>
  <c r="O234" i="1"/>
  <c r="P234" i="1"/>
  <c r="Q234" i="1"/>
  <c r="R234" i="1"/>
  <c r="S234" i="1"/>
  <c r="L235" i="1"/>
  <c r="M235" i="1"/>
  <c r="N235" i="1"/>
  <c r="O235" i="1"/>
  <c r="P235" i="1"/>
  <c r="Q235" i="1"/>
  <c r="R235" i="1"/>
  <c r="S235" i="1"/>
  <c r="L236" i="1"/>
  <c r="M236" i="1"/>
  <c r="N236" i="1"/>
  <c r="O236" i="1"/>
  <c r="P236" i="1"/>
  <c r="Q236" i="1"/>
  <c r="R236" i="1"/>
  <c r="S236" i="1"/>
  <c r="L237" i="1"/>
  <c r="M237" i="1"/>
  <c r="N237" i="1"/>
  <c r="O237" i="1"/>
  <c r="P237" i="1"/>
  <c r="Q237" i="1"/>
  <c r="R237" i="1"/>
  <c r="S237" i="1"/>
  <c r="L238" i="1"/>
  <c r="M238" i="1"/>
  <c r="N238" i="1"/>
  <c r="O238" i="1"/>
  <c r="P238" i="1"/>
  <c r="Q238" i="1"/>
  <c r="R238" i="1"/>
  <c r="S238" i="1"/>
  <c r="L239" i="1"/>
  <c r="M239" i="1"/>
  <c r="N239" i="1"/>
  <c r="O239" i="1"/>
  <c r="P239" i="1"/>
  <c r="Q239" i="1"/>
  <c r="R239" i="1"/>
  <c r="S239" i="1"/>
  <c r="L240" i="1"/>
  <c r="M240" i="1"/>
  <c r="N240" i="1"/>
  <c r="O240" i="1"/>
  <c r="P240" i="1"/>
  <c r="Q240" i="1"/>
  <c r="R240" i="1"/>
  <c r="S240" i="1"/>
  <c r="L241" i="1"/>
  <c r="M241" i="1"/>
  <c r="N241" i="1"/>
  <c r="O241" i="1"/>
  <c r="P241" i="1"/>
  <c r="Q241" i="1"/>
  <c r="R241" i="1"/>
  <c r="S241" i="1"/>
  <c r="L242" i="1"/>
  <c r="M242" i="1"/>
  <c r="N242" i="1"/>
  <c r="O242" i="1"/>
  <c r="P242" i="1"/>
  <c r="Q242" i="1"/>
  <c r="R242" i="1"/>
  <c r="S242" i="1"/>
  <c r="L243" i="1"/>
  <c r="M243" i="1"/>
  <c r="N243" i="1"/>
  <c r="O243" i="1"/>
  <c r="P243" i="1"/>
  <c r="Q243" i="1"/>
  <c r="R243" i="1"/>
  <c r="S243" i="1"/>
  <c r="L244" i="1"/>
  <c r="M244" i="1"/>
  <c r="N244" i="1"/>
  <c r="O244" i="1"/>
  <c r="P244" i="1"/>
  <c r="Q244" i="1"/>
  <c r="R244" i="1"/>
  <c r="S244" i="1"/>
  <c r="L245" i="1"/>
  <c r="M245" i="1"/>
  <c r="N245" i="1"/>
  <c r="O245" i="1"/>
  <c r="P245" i="1"/>
  <c r="Q245" i="1"/>
  <c r="R245" i="1"/>
  <c r="S245" i="1"/>
  <c r="L246" i="1"/>
  <c r="M246" i="1"/>
  <c r="N246" i="1"/>
  <c r="O246" i="1"/>
  <c r="P246" i="1"/>
  <c r="Q246" i="1"/>
  <c r="R246" i="1"/>
  <c r="S246" i="1"/>
  <c r="L247" i="1"/>
  <c r="M247" i="1"/>
  <c r="N247" i="1"/>
  <c r="O247" i="1"/>
  <c r="P247" i="1"/>
  <c r="Q247" i="1"/>
  <c r="R247" i="1"/>
  <c r="S247" i="1"/>
  <c r="L248" i="1"/>
  <c r="M248" i="1"/>
  <c r="N248" i="1"/>
  <c r="O248" i="1"/>
  <c r="P248" i="1"/>
  <c r="Q248" i="1"/>
  <c r="R248" i="1"/>
  <c r="S248" i="1"/>
  <c r="L249" i="1"/>
  <c r="M249" i="1"/>
  <c r="N249" i="1"/>
  <c r="O249" i="1"/>
  <c r="P249" i="1"/>
  <c r="Q249" i="1"/>
  <c r="R249" i="1"/>
  <c r="S249" i="1"/>
  <c r="L250" i="1"/>
  <c r="M250" i="1"/>
  <c r="N250" i="1"/>
  <c r="O250" i="1"/>
  <c r="P250" i="1"/>
  <c r="Q250" i="1"/>
  <c r="R250" i="1"/>
  <c r="S250" i="1"/>
  <c r="L251" i="1"/>
  <c r="M251" i="1"/>
  <c r="N251" i="1"/>
  <c r="O251" i="1"/>
  <c r="P251" i="1"/>
  <c r="Q251" i="1"/>
  <c r="R251" i="1"/>
  <c r="S251" i="1"/>
  <c r="L252" i="1"/>
  <c r="M252" i="1"/>
  <c r="N252" i="1"/>
  <c r="O252" i="1"/>
  <c r="P252" i="1"/>
  <c r="Q252" i="1"/>
  <c r="R252" i="1"/>
  <c r="S252" i="1"/>
  <c r="L253" i="1"/>
  <c r="M253" i="1"/>
  <c r="N253" i="1"/>
  <c r="O253" i="1"/>
  <c r="P253" i="1"/>
  <c r="Q253" i="1"/>
  <c r="R253" i="1"/>
  <c r="S253" i="1"/>
  <c r="L254" i="1"/>
  <c r="M254" i="1"/>
  <c r="N254" i="1"/>
  <c r="O254" i="1"/>
  <c r="P254" i="1"/>
  <c r="Q254" i="1"/>
  <c r="R254" i="1"/>
  <c r="S254" i="1"/>
  <c r="L255" i="1"/>
  <c r="M255" i="1"/>
  <c r="N255" i="1"/>
  <c r="O255" i="1"/>
  <c r="P255" i="1"/>
  <c r="Q255" i="1"/>
  <c r="R255" i="1"/>
  <c r="S255" i="1"/>
  <c r="L256" i="1"/>
  <c r="M256" i="1"/>
  <c r="N256" i="1"/>
  <c r="O256" i="1"/>
  <c r="P256" i="1"/>
  <c r="Q256" i="1"/>
  <c r="R256" i="1"/>
  <c r="S256" i="1"/>
  <c r="L257" i="1"/>
  <c r="M257" i="1"/>
  <c r="N257" i="1"/>
  <c r="O257" i="1"/>
  <c r="P257" i="1"/>
  <c r="Q257" i="1"/>
  <c r="R257" i="1"/>
  <c r="S257" i="1"/>
  <c r="L258" i="1"/>
  <c r="M258" i="1"/>
  <c r="N258" i="1"/>
  <c r="O258" i="1"/>
  <c r="P258" i="1"/>
  <c r="Q258" i="1"/>
  <c r="R258" i="1"/>
  <c r="S258" i="1"/>
  <c r="L259" i="1"/>
  <c r="M259" i="1"/>
  <c r="N259" i="1"/>
  <c r="O259" i="1"/>
  <c r="P259" i="1"/>
  <c r="Q259" i="1"/>
  <c r="R259" i="1"/>
  <c r="S259" i="1"/>
  <c r="L260" i="1"/>
  <c r="M260" i="1"/>
  <c r="N260" i="1"/>
  <c r="O260" i="1"/>
  <c r="P260" i="1"/>
  <c r="Q260" i="1"/>
  <c r="R260" i="1"/>
  <c r="S260" i="1"/>
  <c r="L261" i="1"/>
  <c r="M261" i="1"/>
  <c r="N261" i="1"/>
  <c r="O261" i="1"/>
  <c r="P261" i="1"/>
  <c r="Q261" i="1"/>
  <c r="R261" i="1"/>
  <c r="S261" i="1"/>
  <c r="L262" i="1"/>
  <c r="M262" i="1"/>
  <c r="N262" i="1"/>
  <c r="O262" i="1"/>
  <c r="P262" i="1"/>
  <c r="Q262" i="1"/>
  <c r="R262" i="1"/>
  <c r="S262" i="1"/>
  <c r="L263" i="1"/>
  <c r="M263" i="1"/>
  <c r="N263" i="1"/>
  <c r="O263" i="1"/>
  <c r="P263" i="1"/>
  <c r="Q263" i="1"/>
  <c r="R263" i="1"/>
  <c r="S263" i="1"/>
  <c r="L264" i="1"/>
  <c r="M264" i="1"/>
  <c r="N264" i="1"/>
  <c r="O264" i="1"/>
  <c r="P264" i="1"/>
  <c r="Q264" i="1"/>
  <c r="R264" i="1"/>
  <c r="S264" i="1"/>
  <c r="L265" i="1"/>
  <c r="M265" i="1"/>
  <c r="N265" i="1"/>
  <c r="O265" i="1"/>
  <c r="P265" i="1"/>
  <c r="Q265" i="1"/>
  <c r="R265" i="1"/>
  <c r="S265" i="1"/>
  <c r="L266" i="1"/>
  <c r="M266" i="1"/>
  <c r="N266" i="1"/>
  <c r="O266" i="1"/>
  <c r="P266" i="1"/>
  <c r="Q266" i="1"/>
  <c r="R266" i="1"/>
  <c r="S266" i="1"/>
  <c r="L267" i="1"/>
  <c r="M267" i="1"/>
  <c r="N267" i="1"/>
  <c r="O267" i="1"/>
  <c r="P267" i="1"/>
  <c r="Q267" i="1"/>
  <c r="R267" i="1"/>
  <c r="S267" i="1"/>
  <c r="L268" i="1"/>
  <c r="M268" i="1"/>
  <c r="N268" i="1"/>
  <c r="O268" i="1"/>
  <c r="P268" i="1"/>
  <c r="Q268" i="1"/>
  <c r="R268" i="1"/>
  <c r="S268" i="1"/>
  <c r="L269" i="1"/>
  <c r="M269" i="1"/>
  <c r="N269" i="1"/>
  <c r="O269" i="1"/>
  <c r="P269" i="1"/>
  <c r="Q269" i="1"/>
  <c r="R269" i="1"/>
  <c r="S269" i="1"/>
  <c r="L270" i="1"/>
  <c r="M270" i="1"/>
  <c r="N270" i="1"/>
  <c r="O270" i="1"/>
  <c r="P270" i="1"/>
  <c r="Q270" i="1"/>
  <c r="R270" i="1"/>
  <c r="S270" i="1"/>
  <c r="L271" i="1"/>
  <c r="M271" i="1"/>
  <c r="N271" i="1"/>
  <c r="O271" i="1"/>
  <c r="P271" i="1"/>
  <c r="Q271" i="1"/>
  <c r="R271" i="1"/>
  <c r="S271" i="1"/>
  <c r="L272" i="1"/>
  <c r="M272" i="1"/>
  <c r="N272" i="1"/>
  <c r="O272" i="1"/>
  <c r="P272" i="1"/>
  <c r="Q272" i="1"/>
  <c r="R272" i="1"/>
  <c r="S272" i="1"/>
  <c r="L273" i="1"/>
  <c r="M273" i="1"/>
  <c r="N273" i="1"/>
  <c r="O273" i="1"/>
  <c r="P273" i="1"/>
  <c r="Q273" i="1"/>
  <c r="R273" i="1"/>
  <c r="S273" i="1"/>
  <c r="L274" i="1"/>
  <c r="M274" i="1"/>
  <c r="N274" i="1"/>
  <c r="O274" i="1"/>
  <c r="P274" i="1"/>
  <c r="Q274" i="1"/>
  <c r="R274" i="1"/>
  <c r="S274" i="1"/>
  <c r="L275" i="1"/>
  <c r="M275" i="1"/>
  <c r="N275" i="1"/>
  <c r="O275" i="1"/>
  <c r="P275" i="1"/>
  <c r="Q275" i="1"/>
  <c r="R275" i="1"/>
  <c r="S275" i="1"/>
  <c r="L276" i="1"/>
  <c r="M276" i="1"/>
  <c r="N276" i="1"/>
  <c r="O276" i="1"/>
  <c r="P276" i="1"/>
  <c r="Q276" i="1"/>
  <c r="R276" i="1"/>
  <c r="S276" i="1"/>
  <c r="Y10" i="2" l="1"/>
  <c r="T1" i="2"/>
  <c r="V1" i="2"/>
  <c r="T38" i="2"/>
  <c r="V3" i="2"/>
  <c r="T33" i="2"/>
  <c r="T53" i="2"/>
  <c r="T73" i="2"/>
  <c r="T62" i="2"/>
  <c r="T31" i="2"/>
  <c r="T51" i="2"/>
  <c r="T60" i="2"/>
  <c r="T49" i="2"/>
  <c r="T58" i="2"/>
  <c r="T40" i="2"/>
  <c r="T47" i="2"/>
  <c r="T67" i="2"/>
  <c r="T4" i="2"/>
  <c r="V4" i="2"/>
  <c r="T28" i="1"/>
  <c r="T44" i="1"/>
  <c r="T24" i="1"/>
  <c r="V5" i="1"/>
  <c r="T48" i="1"/>
  <c r="T63" i="1"/>
  <c r="T68" i="1"/>
  <c r="T6" i="1"/>
  <c r="T26" i="1"/>
  <c r="T41" i="1"/>
  <c r="T46" i="1"/>
  <c r="T56" i="1"/>
  <c r="T61" i="1"/>
  <c r="T66" i="1"/>
  <c r="T13" i="1"/>
  <c r="T14" i="1"/>
  <c r="T19" i="1"/>
  <c r="T36" i="1"/>
  <c r="Y4" i="1"/>
  <c r="T34" i="1"/>
  <c r="T39" i="1"/>
  <c r="T73" i="1"/>
  <c r="T60" i="1"/>
  <c r="T54" i="1"/>
  <c r="T59" i="1"/>
  <c r="T74" i="1"/>
  <c r="T7" i="1"/>
  <c r="T11" i="1"/>
  <c r="T71" i="1"/>
  <c r="Y3" i="1"/>
  <c r="T12" i="1"/>
  <c r="T17" i="1"/>
  <c r="T29" i="1"/>
  <c r="T32" i="1"/>
  <c r="T37" i="1"/>
  <c r="T69" i="1"/>
  <c r="Y5" i="1"/>
  <c r="T27" i="1"/>
  <c r="T52" i="1"/>
  <c r="T57" i="1"/>
  <c r="T72" i="1"/>
  <c r="T16" i="1"/>
  <c r="V9" i="1"/>
  <c r="T67" i="1"/>
  <c r="Y6" i="1"/>
  <c r="T47" i="1"/>
  <c r="Y7" i="1"/>
  <c r="T10" i="1"/>
  <c r="T15" i="1"/>
  <c r="T21" i="1"/>
  <c r="T5" i="1"/>
  <c r="Y8" i="1"/>
  <c r="T25" i="1"/>
  <c r="T30" i="1"/>
  <c r="T35" i="1"/>
  <c r="Y9" i="1"/>
  <c r="T45" i="1"/>
  <c r="T55" i="1"/>
  <c r="T70" i="1"/>
  <c r="T75" i="1"/>
  <c r="T3" i="1"/>
  <c r="V7" i="1"/>
  <c r="T42" i="1"/>
  <c r="T43" i="1"/>
  <c r="T22" i="1"/>
  <c r="T50" i="1"/>
  <c r="T65" i="1"/>
  <c r="V3" i="1"/>
  <c r="T8" i="1"/>
  <c r="T20" i="1"/>
  <c r="T23" i="1"/>
  <c r="T64" i="1"/>
  <c r="T53" i="1"/>
  <c r="T2" i="1"/>
  <c r="T40" i="1"/>
  <c r="V2" i="1"/>
  <c r="T49" i="1"/>
  <c r="Y2" i="1"/>
  <c r="T4" i="1"/>
  <c r="T18" i="1"/>
  <c r="T38" i="1"/>
  <c r="T58" i="1"/>
  <c r="V4" i="1"/>
  <c r="V6" i="1"/>
  <c r="V8" i="1"/>
  <c r="T9" i="1"/>
  <c r="T33" i="1"/>
  <c r="T62" i="1"/>
  <c r="T31" i="1"/>
  <c r="T51" i="1"/>
  <c r="T162" i="1"/>
  <c r="T80" i="1"/>
  <c r="T77" i="1"/>
  <c r="T82" i="1"/>
  <c r="T79" i="1"/>
  <c r="T78" i="1"/>
  <c r="T83" i="1"/>
  <c r="T81" i="1"/>
  <c r="T76" i="1"/>
  <c r="T170" i="1"/>
  <c r="T100" i="1"/>
  <c r="T157" i="1"/>
  <c r="T172" i="1"/>
  <c r="T110" i="1"/>
  <c r="T141" i="1"/>
  <c r="T149" i="1"/>
  <c r="T145" i="1"/>
  <c r="T140" i="1"/>
  <c r="T139" i="1"/>
  <c r="T129" i="1"/>
  <c r="T119" i="1"/>
  <c r="T112" i="1"/>
  <c r="T111" i="1"/>
  <c r="T120" i="1"/>
  <c r="T90" i="1"/>
  <c r="T161" i="1"/>
  <c r="T158" i="1"/>
  <c r="T104" i="1"/>
  <c r="T132" i="1"/>
  <c r="T103" i="1"/>
  <c r="T133" i="1"/>
  <c r="T160" i="1"/>
  <c r="T159" i="1"/>
  <c r="T131" i="1"/>
  <c r="T102" i="1"/>
  <c r="T130" i="1"/>
  <c r="T101" i="1"/>
  <c r="T154" i="1"/>
  <c r="T124" i="1"/>
  <c r="T98" i="1"/>
  <c r="T153" i="1"/>
  <c r="T152" i="1"/>
  <c r="T123" i="1"/>
  <c r="T94" i="1"/>
  <c r="T125" i="1"/>
  <c r="T151" i="1"/>
  <c r="T122" i="1"/>
  <c r="T93" i="1"/>
  <c r="T99" i="1"/>
  <c r="T150" i="1"/>
  <c r="T121" i="1"/>
  <c r="T92" i="1"/>
  <c r="T91" i="1"/>
  <c r="T144" i="1"/>
  <c r="T89" i="1"/>
  <c r="T143" i="1"/>
  <c r="T114" i="1"/>
  <c r="T85" i="1"/>
  <c r="T118" i="1"/>
  <c r="T142" i="1"/>
  <c r="T113" i="1"/>
  <c r="T84" i="1"/>
  <c r="T109" i="1"/>
  <c r="T138" i="1"/>
  <c r="T134" i="1"/>
  <c r="T105" i="1"/>
  <c r="T137" i="1"/>
  <c r="T117" i="1"/>
  <c r="T97" i="1"/>
  <c r="T156" i="1"/>
  <c r="T136" i="1"/>
  <c r="T116" i="1"/>
  <c r="T96" i="1"/>
  <c r="T155" i="1"/>
  <c r="T135" i="1"/>
  <c r="T115" i="1"/>
  <c r="T95" i="1"/>
  <c r="T148" i="1"/>
  <c r="T128" i="1"/>
  <c r="T108" i="1"/>
  <c r="T88" i="1"/>
  <c r="T147" i="1"/>
  <c r="T127" i="1"/>
  <c r="T107" i="1"/>
  <c r="T87" i="1"/>
  <c r="T146" i="1"/>
  <c r="T126" i="1"/>
  <c r="T106" i="1"/>
  <c r="T86" i="1"/>
  <c r="T174" i="1"/>
  <c r="T164" i="1"/>
  <c r="T166" i="1"/>
  <c r="T173" i="1"/>
  <c r="T168" i="1"/>
  <c r="T165" i="1"/>
  <c r="T163" i="1"/>
  <c r="T171" i="1"/>
  <c r="T169" i="1"/>
  <c r="T167" i="1"/>
  <c r="V10" i="2" l="1"/>
  <c r="Y11" i="1"/>
  <c r="V11" i="1"/>
</calcChain>
</file>

<file path=xl/sharedStrings.xml><?xml version="1.0" encoding="utf-8"?>
<sst xmlns="http://schemas.openxmlformats.org/spreadsheetml/2006/main" count="39" uniqueCount="30">
  <si>
    <t>Timestamp</t>
  </si>
  <si>
    <t>UNIX Epoch</t>
  </si>
  <si>
    <t>Open5GS (m)</t>
  </si>
  <si>
    <t>5GDeploy Cores (m)</t>
  </si>
  <si>
    <t>OAI UE (m)</t>
  </si>
  <si>
    <t>OAI gNB (m)</t>
  </si>
  <si>
    <t>FlexRIC (m)</t>
  </si>
  <si>
    <t>srsRAN_Project (m)</t>
  </si>
  <si>
    <t>srsRAN_UE (m)</t>
  </si>
  <si>
    <t>O-SC Near-RT RIC (m)</t>
  </si>
  <si>
    <t>Open5GS (s)</t>
  </si>
  <si>
    <t>5GDeploy Cores (s)</t>
  </si>
  <si>
    <t>OAI UE (s)</t>
  </si>
  <si>
    <t>OAI gNB (s)</t>
  </si>
  <si>
    <t>FlexRIC (s)</t>
  </si>
  <si>
    <t>srsRAN_Project (s)</t>
  </si>
  <si>
    <t>srsRAN_UE (s)</t>
  </si>
  <si>
    <t>O-SC Near-RT RIC (s)</t>
  </si>
  <si>
    <t>Open5GS</t>
  </si>
  <si>
    <t>OAI UE</t>
  </si>
  <si>
    <t>OAI gNB</t>
  </si>
  <si>
    <t>FlexRIC</t>
  </si>
  <si>
    <t>O-SC Near-RT RIC</t>
  </si>
  <si>
    <t>srsRAN UE</t>
  </si>
  <si>
    <t>srsRAN gNB</t>
  </si>
  <si>
    <t>5GDeploy</t>
  </si>
  <si>
    <t>Software</t>
  </si>
  <si>
    <t>Install Time (s)</t>
  </si>
  <si>
    <t>Total</t>
  </si>
  <si>
    <t>Just 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</si>
</sst>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0" fontId="0" fillId="33" borderId="0" xfId="0" applyFill="1"/>
    <xf numFmtId="0" fontId="17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361E4-B95B-4CB7-B3C6-6557CDB9672B}">
  <dimension ref="A1:Y276"/>
  <sheetViews>
    <sheetView tabSelected="1" zoomScale="85" zoomScaleNormal="206" workbookViewId="0">
      <selection activeCell="X10" sqref="X10"/>
    </sheetView>
  </sheetViews>
  <sheetFormatPr defaultRowHeight="14.4" x14ac:dyDescent="0.3"/>
  <cols>
    <col min="1" max="1" width="14.77734375" bestFit="1" customWidth="1"/>
    <col min="2" max="2" width="11.33203125" bestFit="1" customWidth="1"/>
    <col min="3" max="10" width="9" bestFit="1" customWidth="1"/>
    <col min="11" max="11" width="8.88671875" style="2"/>
    <col min="12" max="19" width="9" bestFit="1" customWidth="1"/>
    <col min="20" max="20" width="10.6640625" style="3" customWidth="1"/>
    <col min="21" max="21" width="13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U1" t="s">
        <v>26</v>
      </c>
      <c r="V1" t="s">
        <v>27</v>
      </c>
      <c r="Y1" t="s">
        <v>29</v>
      </c>
    </row>
    <row r="2" spans="1:25" x14ac:dyDescent="0.3">
      <c r="A2" s="1">
        <v>45883.78392361111</v>
      </c>
      <c r="B2">
        <v>1755211731</v>
      </c>
      <c r="C2">
        <v>2.0499999999999998</v>
      </c>
      <c r="D2">
        <v>6.4666600000000001</v>
      </c>
      <c r="E2">
        <v>3.1666599999999998</v>
      </c>
      <c r="F2">
        <v>1.9</v>
      </c>
      <c r="G2">
        <v>0.68332999999999999</v>
      </c>
      <c r="H2">
        <v>5.45</v>
      </c>
      <c r="I2">
        <v>3.3</v>
      </c>
      <c r="J2">
        <v>8</v>
      </c>
      <c r="L2">
        <f>IF(C2="","",C2*60)</f>
        <v>122.99999999999999</v>
      </c>
      <c r="M2">
        <f>IF(D2="","",D2*60)</f>
        <v>387.99959999999999</v>
      </c>
      <c r="N2">
        <f>IF(E2="","",E2*60)</f>
        <v>189.99959999999999</v>
      </c>
      <c r="O2">
        <f>IF(F2="","",F2*60)</f>
        <v>114</v>
      </c>
      <c r="P2">
        <f>IF(G2="","",G2*60)</f>
        <v>40.9998</v>
      </c>
      <c r="Q2">
        <f>IF(H2="","",H2*60)</f>
        <v>327</v>
      </c>
      <c r="R2">
        <f>IF(I2="","",I2*60)</f>
        <v>198</v>
      </c>
      <c r="S2">
        <f>IF(J2="","",J2*60)</f>
        <v>480</v>
      </c>
      <c r="T2" s="3">
        <f>ROUND(IF(L2="",AVERAGE(L:L),L2)+IF(M2="",AVERAGE(M:M),M2)+IF(N2="",AVERAGE(N:N),N2)+IF(O2="",AVERAGE(O:O),O2)+IF(P2="",AVERAGE(P:P),P2)+IF(Q2="",AVERAGE(Q:Q),Q2)+IF(R2="",AVERAGE(R:R),R2)+IF(S2="",AVERAGE(S:S),S2), 4-(1+INT(LOG10(ABS(IF(L2="",AVERAGE(L:L),L2)+IF(M2="",AVERAGE(M:M),M2)+IF(N2="",AVERAGE(N:N),N2)+IF(O2="",AVERAGE(O:O),O2)+IF(P2="",AVERAGE(P:P),P2)+IF(Q2="",AVERAGE(Q:Q),Q2)+IF(R2="",AVERAGE(R:R),R2)+IF(S2="",AVERAGE(S:S),S2))))))</f>
        <v>1861</v>
      </c>
      <c r="U2" t="s">
        <v>18</v>
      </c>
      <c r="V2" t="str">
        <f>AVERAGE(L:L) &amp; " ± " &amp; _xlfn.T.INV(1-(1-0.95)/2, COUNT(L:L)-1) * _xlfn.STDEV.S(L:L)/SQRT(COUNT(L:L))</f>
        <v>134.467260355029 ± 2.30796402334021</v>
      </c>
      <c r="Y2">
        <f>AVERAGE(L:L)</f>
        <v>134.46726035502948</v>
      </c>
    </row>
    <row r="3" spans="1:25" x14ac:dyDescent="0.3">
      <c r="A3" s="1">
        <v>45883.810057870367</v>
      </c>
      <c r="B3">
        <v>1755213989</v>
      </c>
      <c r="C3">
        <v>2.0499999999999998</v>
      </c>
      <c r="D3">
        <v>6.6833299999999998</v>
      </c>
      <c r="E3">
        <v>3.11666</v>
      </c>
      <c r="F3">
        <v>1.8833299999999999</v>
      </c>
      <c r="G3">
        <v>0.66666000000000003</v>
      </c>
      <c r="H3">
        <v>5.4833299999999996</v>
      </c>
      <c r="I3">
        <v>4.5999999999999996</v>
      </c>
      <c r="J3">
        <v>8.1833299999999998</v>
      </c>
      <c r="L3">
        <f>IF(C3="","",C3*60)</f>
        <v>122.99999999999999</v>
      </c>
      <c r="M3">
        <f>IF(D3="","",D3*60)</f>
        <v>400.99979999999999</v>
      </c>
      <c r="N3">
        <f>IF(E3="","",E3*60)</f>
        <v>186.99959999999999</v>
      </c>
      <c r="O3">
        <f>IF(F3="","",F3*60)</f>
        <v>112.99979999999999</v>
      </c>
      <c r="P3">
        <f>IF(G3="","",G3*60)</f>
        <v>39.999600000000001</v>
      </c>
      <c r="Q3">
        <f>IF(H3="","",H3*60)</f>
        <v>328.99979999999999</v>
      </c>
      <c r="R3">
        <f>IF(I3="","",I3*60)</f>
        <v>276</v>
      </c>
      <c r="S3">
        <f>IF(J3="","",J3*60)</f>
        <v>490.99979999999999</v>
      </c>
      <c r="T3" s="3">
        <f>ROUND(IF(L3="",AVERAGE(L:L),L3)+IF(M3="",AVERAGE(M:M),M3)+IF(N3="",AVERAGE(N:N),N3)+IF(O3="",AVERAGE(O:O),O3)+IF(P3="",AVERAGE(P:P),P3)+IF(Q3="",AVERAGE(Q:Q),Q3)+IF(R3="",AVERAGE(R:R),R3)+IF(S3="",AVERAGE(S:S),S3), 4-(1+INT(LOG10(ABS(IF(L3="",AVERAGE(L:L),L3)+IF(M3="",AVERAGE(M:M),M3)+IF(N3="",AVERAGE(N:N),N3)+IF(O3="",AVERAGE(O:O),O3)+IF(P3="",AVERAGE(P:P),P3)+IF(Q3="",AVERAGE(Q:Q),Q3)+IF(R3="",AVERAGE(R:R),R3)+IF(S3="",AVERAGE(S:S),S3))))))</f>
        <v>1960</v>
      </c>
      <c r="U3" t="s">
        <v>25</v>
      </c>
      <c r="V3" t="str">
        <f>AVERAGE(M:M) &amp; " ± " &amp; _xlfn.T.INV(1-(1-0.95)/2, COUNT(M:M)-1) * _xlfn.STDEV.S(M:M)/SQRT(COUNT(M:M))</f>
        <v>489.599770909091 ± 17.1079286028302</v>
      </c>
      <c r="Y3">
        <f>AVERAGE(M:M)</f>
        <v>489.59977090909086</v>
      </c>
    </row>
    <row r="4" spans="1:25" x14ac:dyDescent="0.3">
      <c r="A4" s="1">
        <v>45883.836631944447</v>
      </c>
      <c r="B4">
        <v>1755216285</v>
      </c>
      <c r="C4">
        <v>2.0499999999999998</v>
      </c>
      <c r="D4">
        <v>7.6833299999999998</v>
      </c>
      <c r="E4">
        <v>2.75</v>
      </c>
      <c r="F4">
        <v>2.25</v>
      </c>
      <c r="G4">
        <v>0.66666000000000003</v>
      </c>
      <c r="H4">
        <v>5.2333299999999996</v>
      </c>
      <c r="I4">
        <v>3.8166600000000002</v>
      </c>
      <c r="J4">
        <v>8.6333300000000008</v>
      </c>
      <c r="L4">
        <f>IF(C4="","",C4*60)</f>
        <v>122.99999999999999</v>
      </c>
      <c r="M4">
        <f>IF(D4="","",D4*60)</f>
        <v>460.99979999999999</v>
      </c>
      <c r="N4">
        <f>IF(E4="","",E4*60)</f>
        <v>165</v>
      </c>
      <c r="O4">
        <f>IF(F4="","",F4*60)</f>
        <v>135</v>
      </c>
      <c r="P4">
        <f>IF(G4="","",G4*60)</f>
        <v>39.999600000000001</v>
      </c>
      <c r="Q4">
        <f>IF(H4="","",H4*60)</f>
        <v>313.99979999999999</v>
      </c>
      <c r="R4">
        <f>IF(I4="","",I4*60)</f>
        <v>228.99960000000002</v>
      </c>
      <c r="S4">
        <f>IF(J4="","",J4*60)</f>
        <v>517.99980000000005</v>
      </c>
      <c r="T4" s="3">
        <f>ROUND(IF(L4="",AVERAGE(L:L),L4)+IF(M4="",AVERAGE(M:M),M4)+IF(N4="",AVERAGE(N:N),N4)+IF(O4="",AVERAGE(O:O),O4)+IF(P4="",AVERAGE(P:P),P4)+IF(Q4="",AVERAGE(Q:Q),Q4)+IF(R4="",AVERAGE(R:R),R4)+IF(S4="",AVERAGE(S:S),S4), 4-(1+INT(LOG10(ABS(IF(L4="",AVERAGE(L:L),L4)+IF(M4="",AVERAGE(M:M),M4)+IF(N4="",AVERAGE(N:N),N4)+IF(O4="",AVERAGE(O:O),O4)+IF(P4="",AVERAGE(P:P),P4)+IF(Q4="",AVERAGE(Q:Q),Q4)+IF(R4="",AVERAGE(R:R),R4)+IF(S4="",AVERAGE(S:S),S4))))))</f>
        <v>1985</v>
      </c>
      <c r="U4" t="s">
        <v>19</v>
      </c>
      <c r="V4" t="str">
        <f>AVERAGE(N:N) &amp; " ± " &amp; _xlfn.T.INV(1-(1-0.95)/2, COUNT(N:N)-1) * _xlfn.STDEV.S(N:N)/SQRT(COUNT(N:N))</f>
        <v>188.586994186046 ± 2.45410485244163</v>
      </c>
      <c r="Y4">
        <f>AVERAGE(N:N)</f>
        <v>188.58699418604644</v>
      </c>
    </row>
    <row r="5" spans="1:25" x14ac:dyDescent="0.3">
      <c r="A5" s="1">
        <v>45883.862037037034</v>
      </c>
      <c r="B5">
        <v>1755218480</v>
      </c>
      <c r="C5">
        <v>2.0499999999999998</v>
      </c>
      <c r="D5">
        <v>6.7333299999999996</v>
      </c>
      <c r="E5">
        <v>3.15</v>
      </c>
      <c r="F5">
        <v>1.93333</v>
      </c>
      <c r="G5">
        <v>0.68332999999999999</v>
      </c>
      <c r="H5">
        <v>5.35</v>
      </c>
      <c r="I5">
        <v>3.25</v>
      </c>
      <c r="J5">
        <v>8.3333300000000001</v>
      </c>
      <c r="L5">
        <f>IF(C5="","",C5*60)</f>
        <v>122.99999999999999</v>
      </c>
      <c r="M5">
        <f>IF(D5="","",D5*60)</f>
        <v>403.99979999999999</v>
      </c>
      <c r="N5">
        <f>IF(E5="","",E5*60)</f>
        <v>189</v>
      </c>
      <c r="O5">
        <f>IF(F5="","",F5*60)</f>
        <v>115.99979999999999</v>
      </c>
      <c r="P5">
        <f>IF(G5="","",G5*60)</f>
        <v>40.9998</v>
      </c>
      <c r="Q5">
        <f>IF(H5="","",H5*60)</f>
        <v>321</v>
      </c>
      <c r="R5">
        <f>IF(I5="","",I5*60)</f>
        <v>195</v>
      </c>
      <c r="S5">
        <f>IF(J5="","",J5*60)</f>
        <v>499.99979999999999</v>
      </c>
      <c r="T5" s="3">
        <f>ROUND(IF(L5="",AVERAGE(L:L),L5)+IF(M5="",AVERAGE(M:M),M5)+IF(N5="",AVERAGE(N:N),N5)+IF(O5="",AVERAGE(O:O),O5)+IF(P5="",AVERAGE(P:P),P5)+IF(Q5="",AVERAGE(Q:Q),Q5)+IF(R5="",AVERAGE(R:R),R5)+IF(S5="",AVERAGE(S:S),S5), 4-(1+INT(LOG10(ABS(IF(L5="",AVERAGE(L:L),L5)+IF(M5="",AVERAGE(M:M),M5)+IF(N5="",AVERAGE(N:N),N5)+IF(O5="",AVERAGE(O:O),O5)+IF(P5="",AVERAGE(P:P),P5)+IF(Q5="",AVERAGE(Q:Q),Q5)+IF(R5="",AVERAGE(R:R),R5)+IF(S5="",AVERAGE(S:S),S5))))))</f>
        <v>1889</v>
      </c>
      <c r="U5" t="s">
        <v>20</v>
      </c>
      <c r="V5" t="str">
        <f>AVERAGE(O:O) &amp; " ± " &amp; _xlfn.T.INV(1-(1-0.95)/2, COUNT(O:O)-1) * _xlfn.STDEV.S(O:O)/SQRT(COUNT(O:O))</f>
        <v>136.098627906977 ± 2.77894192401634</v>
      </c>
      <c r="Y5">
        <f>AVERAGE(O:O)</f>
        <v>136.09862790697665</v>
      </c>
    </row>
    <row r="6" spans="1:25" x14ac:dyDescent="0.3">
      <c r="A6" s="1">
        <v>45883.887812499997</v>
      </c>
      <c r="B6">
        <v>1755220707</v>
      </c>
      <c r="C6">
        <v>2.0666600000000002</v>
      </c>
      <c r="D6">
        <v>7.1666600000000003</v>
      </c>
      <c r="E6">
        <v>2.73333</v>
      </c>
      <c r="F6">
        <v>2</v>
      </c>
      <c r="G6">
        <v>0.66666000000000003</v>
      </c>
      <c r="H6">
        <v>5.3333300000000001</v>
      </c>
      <c r="I6">
        <v>3.25</v>
      </c>
      <c r="J6">
        <v>8.65</v>
      </c>
      <c r="L6">
        <f>IF(C6="","",C6*60)</f>
        <v>123.99960000000002</v>
      </c>
      <c r="M6">
        <f>IF(D6="","",D6*60)</f>
        <v>429.99959999999999</v>
      </c>
      <c r="N6">
        <f>IF(E6="","",E6*60)</f>
        <v>163.99979999999999</v>
      </c>
      <c r="O6">
        <f>IF(F6="","",F6*60)</f>
        <v>120</v>
      </c>
      <c r="P6">
        <f>IF(G6="","",G6*60)</f>
        <v>39.999600000000001</v>
      </c>
      <c r="Q6">
        <f>IF(H6="","",H6*60)</f>
        <v>319.99979999999999</v>
      </c>
      <c r="R6">
        <f>IF(I6="","",I6*60)</f>
        <v>195</v>
      </c>
      <c r="S6">
        <f>IF(J6="","",J6*60)</f>
        <v>519</v>
      </c>
      <c r="T6" s="3">
        <f>ROUND(IF(L6="",AVERAGE(L:L),L6)+IF(M6="",AVERAGE(M:M),M6)+IF(N6="",AVERAGE(N:N),N6)+IF(O6="",AVERAGE(O:O),O6)+IF(P6="",AVERAGE(P:P),P6)+IF(Q6="",AVERAGE(Q:Q),Q6)+IF(R6="",AVERAGE(R:R),R6)+IF(S6="",AVERAGE(S:S),S6), 4-(1+INT(LOG10(ABS(IF(L6="",AVERAGE(L:L),L6)+IF(M6="",AVERAGE(M:M),M6)+IF(N6="",AVERAGE(N:N),N6)+IF(O6="",AVERAGE(O:O),O6)+IF(P6="",AVERAGE(P:P),P6)+IF(Q6="",AVERAGE(Q:Q),Q6)+IF(R6="",AVERAGE(R:R),R6)+IF(S6="",AVERAGE(S:S),S6))))))</f>
        <v>1912</v>
      </c>
      <c r="U6" t="s">
        <v>21</v>
      </c>
      <c r="V6" t="str">
        <f>AVERAGE(P:P) &amp; " ± " &amp; _xlfn.T.INV(1-(1-0.95)/2, COUNT(P:P)-1) * _xlfn.STDEV.S(P:P)/SQRT(COUNT(P:P))</f>
        <v>44.3926535714286 ± 1.18350071799679</v>
      </c>
      <c r="Y6">
        <f>AVERAGE(P:P)</f>
        <v>44.392653571428568</v>
      </c>
    </row>
    <row r="7" spans="1:25" x14ac:dyDescent="0.3">
      <c r="A7" s="1">
        <v>45883.914421296293</v>
      </c>
      <c r="B7">
        <v>1755223006</v>
      </c>
      <c r="C7">
        <v>2.11666</v>
      </c>
      <c r="D7">
        <v>6.9666600000000001</v>
      </c>
      <c r="E7">
        <v>3</v>
      </c>
      <c r="F7">
        <v>2</v>
      </c>
      <c r="G7">
        <v>0.75</v>
      </c>
      <c r="H7">
        <v>6.2166600000000001</v>
      </c>
      <c r="I7">
        <v>3.95</v>
      </c>
      <c r="J7">
        <v>8.25</v>
      </c>
      <c r="L7">
        <f>IF(C7="","",C7*60)</f>
        <v>126.9996</v>
      </c>
      <c r="M7">
        <f>IF(D7="","",D7*60)</f>
        <v>417.99959999999999</v>
      </c>
      <c r="N7">
        <f>IF(E7="","",E7*60)</f>
        <v>180</v>
      </c>
      <c r="O7">
        <f>IF(F7="","",F7*60)</f>
        <v>120</v>
      </c>
      <c r="P7">
        <f>IF(G7="","",G7*60)</f>
        <v>45</v>
      </c>
      <c r="Q7">
        <f>IF(H7="","",H7*60)</f>
        <v>372.99959999999999</v>
      </c>
      <c r="R7">
        <f>IF(I7="","",I7*60)</f>
        <v>237</v>
      </c>
      <c r="S7">
        <f>IF(J7="","",J7*60)</f>
        <v>495</v>
      </c>
      <c r="T7" s="3">
        <f>ROUND(IF(L7="",AVERAGE(L:L),L7)+IF(M7="",AVERAGE(M:M),M7)+IF(N7="",AVERAGE(N:N),N7)+IF(O7="",AVERAGE(O:O),O7)+IF(P7="",AVERAGE(P:P),P7)+IF(Q7="",AVERAGE(Q:Q),Q7)+IF(R7="",AVERAGE(R:R),R7)+IF(S7="",AVERAGE(S:S),S7), 4-(1+INT(LOG10(ABS(IF(L7="",AVERAGE(L:L),L7)+IF(M7="",AVERAGE(M:M),M7)+IF(N7="",AVERAGE(N:N),N7)+IF(O7="",AVERAGE(O:O),O7)+IF(P7="",AVERAGE(P:P),P7)+IF(Q7="",AVERAGE(Q:Q),Q7)+IF(R7="",AVERAGE(R:R),R7)+IF(S7="",AVERAGE(S:S),S7))))))</f>
        <v>1995</v>
      </c>
      <c r="U7" t="s">
        <v>24</v>
      </c>
      <c r="V7" t="str">
        <f>AVERAGE(Q:Q) &amp; " ± " &amp; _xlfn.T.INV(1-(1-0.95)/2, COUNT(Q:Q)-1) * _xlfn.STDEV.S(Q:Q)/SQRT(COUNT(Q:Q))</f>
        <v>328.534660465116 ± 4.60104900573952</v>
      </c>
      <c r="Y7">
        <f>AVERAGE(Q:Q)</f>
        <v>328.53466046511642</v>
      </c>
    </row>
    <row r="8" spans="1:25" x14ac:dyDescent="0.3">
      <c r="A8" s="1">
        <v>45883.943009259259</v>
      </c>
      <c r="B8">
        <v>1755225476</v>
      </c>
      <c r="C8">
        <v>3.3833299999999999</v>
      </c>
      <c r="D8">
        <v>7.3166599999999997</v>
      </c>
      <c r="E8">
        <v>3.6666599999999998</v>
      </c>
      <c r="F8">
        <v>2.5333299999999999</v>
      </c>
      <c r="G8">
        <v>0.9</v>
      </c>
      <c r="H8">
        <v>5.7833300000000003</v>
      </c>
      <c r="I8">
        <v>3.86666</v>
      </c>
      <c r="J8">
        <v>8.4666599999999992</v>
      </c>
      <c r="L8">
        <f>IF(C8="","",C8*60)</f>
        <v>202.99979999999999</v>
      </c>
      <c r="M8">
        <f>IF(D8="","",D8*60)</f>
        <v>438.99959999999999</v>
      </c>
      <c r="N8">
        <f>IF(E8="","",E8*60)</f>
        <v>219.99959999999999</v>
      </c>
      <c r="O8">
        <f>IF(F8="","",F8*60)</f>
        <v>151.99979999999999</v>
      </c>
      <c r="P8">
        <f>IF(G8="","",G8*60)</f>
        <v>54</v>
      </c>
      <c r="Q8">
        <f>IF(H8="","",H8*60)</f>
        <v>346.99979999999999</v>
      </c>
      <c r="R8">
        <f>IF(I8="","",I8*60)</f>
        <v>231.99959999999999</v>
      </c>
      <c r="S8">
        <f>IF(J8="","",J8*60)</f>
        <v>507.99959999999993</v>
      </c>
      <c r="T8" s="3">
        <f>ROUND(IF(L8="",AVERAGE(L:L),L8)+IF(M8="",AVERAGE(M:M),M8)+IF(N8="",AVERAGE(N:N),N8)+IF(O8="",AVERAGE(O:O),O8)+IF(P8="",AVERAGE(P:P),P8)+IF(Q8="",AVERAGE(Q:Q),Q8)+IF(R8="",AVERAGE(R:R),R8)+IF(S8="",AVERAGE(S:S),S8), 4-(1+INT(LOG10(ABS(IF(L8="",AVERAGE(L:L),L8)+IF(M8="",AVERAGE(M:M),M8)+IF(N8="",AVERAGE(N:N),N8)+IF(O8="",AVERAGE(O:O),O8)+IF(P8="",AVERAGE(P:P),P8)+IF(Q8="",AVERAGE(Q:Q),Q8)+IF(R8="",AVERAGE(R:R),R8)+IF(S8="",AVERAGE(S:S),S8))))))</f>
        <v>2155</v>
      </c>
      <c r="U8" t="s">
        <v>23</v>
      </c>
      <c r="V8" t="str">
        <f>AVERAGE(R:R) &amp; " ± " &amp; _xlfn.T.INV(1-(1-0.95)/2, COUNT(R:R)-1) * _xlfn.STDEV.S(R:R)/SQRT(COUNT(R:R))</f>
        <v>206.699219653179 ± 3.03945637887966</v>
      </c>
      <c r="Y8">
        <f>AVERAGE(R:R)</f>
        <v>206.69921965317917</v>
      </c>
    </row>
    <row r="9" spans="1:25" x14ac:dyDescent="0.3">
      <c r="A9" s="1">
        <v>45884.436712962961</v>
      </c>
      <c r="B9">
        <v>1755268132</v>
      </c>
      <c r="C9">
        <v>2.8833299999999999</v>
      </c>
      <c r="D9">
        <v>8.6999999999999993</v>
      </c>
      <c r="E9">
        <v>3.3</v>
      </c>
      <c r="F9">
        <v>1.9</v>
      </c>
      <c r="G9">
        <v>0.78332999999999997</v>
      </c>
      <c r="H9">
        <v>7.3166599999999997</v>
      </c>
      <c r="I9">
        <v>3.9333300000000002</v>
      </c>
      <c r="J9">
        <v>9.0333299999999994</v>
      </c>
      <c r="L9">
        <f>IF(C9="","",C9*60)</f>
        <v>172.99979999999999</v>
      </c>
      <c r="M9">
        <f>IF(D9="","",D9*60)</f>
        <v>522</v>
      </c>
      <c r="N9">
        <f>IF(E9="","",E9*60)</f>
        <v>198</v>
      </c>
      <c r="O9">
        <f>IF(F9="","",F9*60)</f>
        <v>114</v>
      </c>
      <c r="P9">
        <f>IF(G9="","",G9*60)</f>
        <v>46.9998</v>
      </c>
      <c r="Q9">
        <f>IF(H9="","",H9*60)</f>
        <v>438.99959999999999</v>
      </c>
      <c r="R9">
        <f>IF(I9="","",I9*60)</f>
        <v>235.99980000000002</v>
      </c>
      <c r="S9">
        <f>IF(J9="","",J9*60)</f>
        <v>541.99979999999994</v>
      </c>
      <c r="T9" s="3">
        <f>ROUND(IF(L9="",AVERAGE(L:L),L9)+IF(M9="",AVERAGE(M:M),M9)+IF(N9="",AVERAGE(N:N),N9)+IF(O9="",AVERAGE(O:O),O9)+IF(P9="",AVERAGE(P:P),P9)+IF(Q9="",AVERAGE(Q:Q),Q9)+IF(R9="",AVERAGE(R:R),R9)+IF(S9="",AVERAGE(S:S),S9), 4-(1+INT(LOG10(ABS(IF(L9="",AVERAGE(L:L),L9)+IF(M9="",AVERAGE(M:M),M9)+IF(N9="",AVERAGE(N:N),N9)+IF(O9="",AVERAGE(O:O),O9)+IF(P9="",AVERAGE(P:P),P9)+IF(Q9="",AVERAGE(Q:Q),Q9)+IF(R9="",AVERAGE(R:R),R9)+IF(S9="",AVERAGE(S:S),S9))))))</f>
        <v>2271</v>
      </c>
      <c r="U9" t="s">
        <v>22</v>
      </c>
      <c r="V9" t="str">
        <f>AVERAGE(S:S) &amp; " ± " &amp; _xlfn.T.INV(1-(1-0.95)/2, COUNT(S:S)-1) * _xlfn.STDEV.S(S:S)/SQRT(COUNT(S:S))</f>
        <v>618.093935294118 ± 13.2327115586127</v>
      </c>
      <c r="Y9">
        <f>AVERAGE(S:S)</f>
        <v>618.09393529411784</v>
      </c>
    </row>
    <row r="10" spans="1:25" x14ac:dyDescent="0.3">
      <c r="A10" s="1">
        <v>45884.470127314817</v>
      </c>
      <c r="B10">
        <v>1755271019</v>
      </c>
      <c r="C10">
        <v>2.9</v>
      </c>
      <c r="D10">
        <v>8.4666599999999992</v>
      </c>
      <c r="E10">
        <v>4</v>
      </c>
      <c r="F10">
        <v>2.6333299999999999</v>
      </c>
      <c r="G10">
        <v>0.86665999999999999</v>
      </c>
      <c r="H10">
        <v>7.4833299999999996</v>
      </c>
      <c r="I10">
        <v>4.4000000000000004</v>
      </c>
      <c r="J10">
        <v>9.7833299999999994</v>
      </c>
      <c r="L10">
        <f>IF(C10="","",C10*60)</f>
        <v>174</v>
      </c>
      <c r="M10">
        <f>IF(D10="","",D10*60)</f>
        <v>507.99959999999993</v>
      </c>
      <c r="N10">
        <f>IF(E10="","",E10*60)</f>
        <v>240</v>
      </c>
      <c r="O10">
        <f>IF(F10="","",F10*60)</f>
        <v>157.99979999999999</v>
      </c>
      <c r="P10">
        <f>IF(G10="","",G10*60)</f>
        <v>51.999600000000001</v>
      </c>
      <c r="Q10">
        <f>IF(H10="","",H10*60)</f>
        <v>448.99979999999999</v>
      </c>
      <c r="R10">
        <f>IF(I10="","",I10*60)</f>
        <v>264</v>
      </c>
      <c r="S10">
        <f>IF(J10="","",J10*60)</f>
        <v>586.99979999999994</v>
      </c>
      <c r="T10" s="3">
        <f>ROUND(IF(L10="",AVERAGE(L:L),L10)+IF(M10="",AVERAGE(M:M),M10)+IF(N10="",AVERAGE(N:N),N10)+IF(O10="",AVERAGE(O:O),O10)+IF(P10="",AVERAGE(P:P),P10)+IF(Q10="",AVERAGE(Q:Q),Q10)+IF(R10="",AVERAGE(R:R),R10)+IF(S10="",AVERAGE(S:S),S10), 4-(1+INT(LOG10(ABS(IF(L10="",AVERAGE(L:L),L10)+IF(M10="",AVERAGE(M:M),M10)+IF(N10="",AVERAGE(N:N),N10)+IF(O10="",AVERAGE(O:O),O10)+IF(P10="",AVERAGE(P:P),P10)+IF(Q10="",AVERAGE(Q:Q),Q10)+IF(R10="",AVERAGE(R:R),R10)+IF(S10="",AVERAGE(S:S),S10))))))</f>
        <v>2432</v>
      </c>
    </row>
    <row r="11" spans="1:25" x14ac:dyDescent="0.3">
      <c r="A11" s="1">
        <v>45884.498923611114</v>
      </c>
      <c r="B11">
        <v>1755273507</v>
      </c>
      <c r="C11">
        <v>2.3333300000000001</v>
      </c>
      <c r="D11">
        <v>8.0833300000000001</v>
      </c>
      <c r="E11">
        <v>3.1833300000000002</v>
      </c>
      <c r="F11">
        <v>2.25</v>
      </c>
      <c r="G11">
        <v>0.81666000000000005</v>
      </c>
      <c r="H11">
        <v>5.6166600000000004</v>
      </c>
      <c r="I11">
        <v>3.9333300000000002</v>
      </c>
      <c r="J11">
        <v>9</v>
      </c>
      <c r="L11">
        <f>IF(C11="","",C11*60)</f>
        <v>139.99979999999999</v>
      </c>
      <c r="M11">
        <f>IF(D11="","",D11*60)</f>
        <v>484.99979999999999</v>
      </c>
      <c r="N11">
        <f>IF(E11="","",E11*60)</f>
        <v>190.99980000000002</v>
      </c>
      <c r="O11">
        <f>IF(F11="","",F11*60)</f>
        <v>135</v>
      </c>
      <c r="P11">
        <f>IF(G11="","",G11*60)</f>
        <v>48.999600000000001</v>
      </c>
      <c r="Q11">
        <f>IF(H11="","",H11*60)</f>
        <v>336.99960000000004</v>
      </c>
      <c r="R11">
        <f>IF(I11="","",I11*60)</f>
        <v>235.99980000000002</v>
      </c>
      <c r="S11">
        <f>IF(J11="","",J11*60)</f>
        <v>540</v>
      </c>
      <c r="T11" s="3">
        <f>ROUND(IF(L11="",AVERAGE(L:L),L11)+IF(M11="",AVERAGE(M:M),M11)+IF(N11="",AVERAGE(N:N),N11)+IF(O11="",AVERAGE(O:O),O11)+IF(P11="",AVERAGE(P:P),P11)+IF(Q11="",AVERAGE(Q:Q),Q11)+IF(R11="",AVERAGE(R:R),R11)+IF(S11="",AVERAGE(S:S),S11), 4-(1+INT(LOG10(ABS(IF(L11="",AVERAGE(L:L),L11)+IF(M11="",AVERAGE(M:M),M11)+IF(N11="",AVERAGE(N:N),N11)+IF(O11="",AVERAGE(O:O),O11)+IF(P11="",AVERAGE(P:P),P11)+IF(Q11="",AVERAGE(Q:Q),Q11)+IF(R11="",AVERAGE(R:R),R11)+IF(S11="",AVERAGE(S:S),S11))))))</f>
        <v>2113</v>
      </c>
      <c r="U11" t="s">
        <v>28</v>
      </c>
      <c r="V11" t="str">
        <f>AVERAGE(T:T) &amp; " ± " &amp; _xlfn.T.INV(1-(1-0.95)/2, COUNT(T:T)-1) * _xlfn.STDEV.S(T:T)/SQRT(COUNT(T:T))</f>
        <v>2146.71676300578 ± 19.6819272063251</v>
      </c>
      <c r="Y11">
        <f>SUM(Y2:Y9)</f>
        <v>2146.4731223409854</v>
      </c>
    </row>
    <row r="12" spans="1:25" x14ac:dyDescent="0.3">
      <c r="A12" s="1">
        <v>45884.526724537034</v>
      </c>
      <c r="B12">
        <v>1755275909</v>
      </c>
      <c r="C12">
        <v>2.2000000000000002</v>
      </c>
      <c r="D12">
        <v>8.5</v>
      </c>
      <c r="E12">
        <v>3.11666</v>
      </c>
      <c r="F12">
        <v>2.2666599999999999</v>
      </c>
      <c r="G12">
        <v>0.66666000000000003</v>
      </c>
      <c r="H12">
        <v>5.25</v>
      </c>
      <c r="I12">
        <v>3.11666</v>
      </c>
      <c r="J12">
        <v>9.0333299999999994</v>
      </c>
      <c r="L12">
        <f>IF(C12="","",C12*60)</f>
        <v>132</v>
      </c>
      <c r="M12">
        <f>IF(D12="","",D12*60)</f>
        <v>510</v>
      </c>
      <c r="N12">
        <f>IF(E12="","",E12*60)</f>
        <v>186.99959999999999</v>
      </c>
      <c r="O12">
        <f>IF(F12="","",F12*60)</f>
        <v>135.99959999999999</v>
      </c>
      <c r="P12">
        <f>IF(G12="","",G12*60)</f>
        <v>39.999600000000001</v>
      </c>
      <c r="Q12">
        <f>IF(H12="","",H12*60)</f>
        <v>315</v>
      </c>
      <c r="R12">
        <f>IF(I12="","",I12*60)</f>
        <v>186.99959999999999</v>
      </c>
      <c r="S12">
        <f>IF(J12="","",J12*60)</f>
        <v>541.99979999999994</v>
      </c>
      <c r="T12" s="3">
        <f>ROUND(IF(L12="",AVERAGE(L:L),L12)+IF(M12="",AVERAGE(M:M),M12)+IF(N12="",AVERAGE(N:N),N12)+IF(O12="",AVERAGE(O:O),O12)+IF(P12="",AVERAGE(P:P),P12)+IF(Q12="",AVERAGE(Q:Q),Q12)+IF(R12="",AVERAGE(R:R),R12)+IF(S12="",AVERAGE(S:S),S12), 4-(1+INT(LOG10(ABS(IF(L12="",AVERAGE(L:L),L12)+IF(M12="",AVERAGE(M:M),M12)+IF(N12="",AVERAGE(N:N),N12)+IF(O12="",AVERAGE(O:O),O12)+IF(P12="",AVERAGE(P:P),P12)+IF(Q12="",AVERAGE(Q:Q),Q12)+IF(R12="",AVERAGE(R:R),R12)+IF(S12="",AVERAGE(S:S),S12))))))</f>
        <v>2049</v>
      </c>
    </row>
    <row r="13" spans="1:25" x14ac:dyDescent="0.3">
      <c r="A13" s="1">
        <v>45884.554120370369</v>
      </c>
      <c r="B13">
        <v>1755278276</v>
      </c>
      <c r="C13">
        <v>2.2166600000000001</v>
      </c>
      <c r="D13">
        <v>8.0166599999999999</v>
      </c>
      <c r="E13">
        <v>2.7833299999999999</v>
      </c>
      <c r="F13">
        <v>1.9</v>
      </c>
      <c r="G13">
        <v>0.71665999999999996</v>
      </c>
      <c r="H13">
        <v>5.2333299999999996</v>
      </c>
      <c r="I13">
        <v>3.3333300000000001</v>
      </c>
      <c r="J13">
        <v>9.1333300000000008</v>
      </c>
      <c r="L13">
        <f>IF(C13="","",C13*60)</f>
        <v>132.99960000000002</v>
      </c>
      <c r="M13">
        <f>IF(D13="","",D13*60)</f>
        <v>480.99959999999999</v>
      </c>
      <c r="N13">
        <f>IF(E13="","",E13*60)</f>
        <v>166.99979999999999</v>
      </c>
      <c r="O13">
        <f>IF(F13="","",F13*60)</f>
        <v>114</v>
      </c>
      <c r="P13">
        <f>IF(G13="","",G13*60)</f>
        <v>42.999600000000001</v>
      </c>
      <c r="Q13">
        <f>IF(H13="","",H13*60)</f>
        <v>313.99979999999999</v>
      </c>
      <c r="R13">
        <f>IF(I13="","",I13*60)</f>
        <v>199.99979999999999</v>
      </c>
      <c r="S13">
        <f>IF(J13="","",J13*60)</f>
        <v>547.99980000000005</v>
      </c>
      <c r="T13" s="3">
        <f>ROUND(IF(L13="",AVERAGE(L:L),L13)+IF(M13="",AVERAGE(M:M),M13)+IF(N13="",AVERAGE(N:N),N13)+IF(O13="",AVERAGE(O:O),O13)+IF(P13="",AVERAGE(P:P),P13)+IF(Q13="",AVERAGE(Q:Q),Q13)+IF(R13="",AVERAGE(R:R),R13)+IF(S13="",AVERAGE(S:S),S13), 4-(1+INT(LOG10(ABS(IF(L13="",AVERAGE(L:L),L13)+IF(M13="",AVERAGE(M:M),M13)+IF(N13="",AVERAGE(N:N),N13)+IF(O13="",AVERAGE(O:O),O13)+IF(P13="",AVERAGE(P:P),P13)+IF(Q13="",AVERAGE(Q:Q),Q13)+IF(R13="",AVERAGE(R:R),R13)+IF(S13="",AVERAGE(S:S),S13))))))</f>
        <v>2000</v>
      </c>
    </row>
    <row r="14" spans="1:25" x14ac:dyDescent="0.3">
      <c r="A14" s="1">
        <v>45884.581805555557</v>
      </c>
      <c r="B14">
        <v>1755280668</v>
      </c>
      <c r="C14">
        <v>2.1666599999999998</v>
      </c>
      <c r="D14">
        <v>8.0333299999999994</v>
      </c>
      <c r="E14">
        <v>2.8</v>
      </c>
      <c r="F14">
        <v>1.91666</v>
      </c>
      <c r="G14">
        <v>0.7</v>
      </c>
      <c r="H14">
        <v>5.3333300000000001</v>
      </c>
      <c r="I14">
        <v>3.36666</v>
      </c>
      <c r="J14">
        <v>9.5</v>
      </c>
      <c r="L14">
        <f>IF(C14="","",C14*60)</f>
        <v>129.99959999999999</v>
      </c>
      <c r="M14">
        <f>IF(D14="","",D14*60)</f>
        <v>481.99979999999994</v>
      </c>
      <c r="N14">
        <f>IF(E14="","",E14*60)</f>
        <v>168</v>
      </c>
      <c r="O14">
        <f>IF(F14="","",F14*60)</f>
        <v>114.9996</v>
      </c>
      <c r="P14">
        <f>IF(G14="","",G14*60)</f>
        <v>42</v>
      </c>
      <c r="Q14">
        <f>IF(H14="","",H14*60)</f>
        <v>319.99979999999999</v>
      </c>
      <c r="R14">
        <f>IF(I14="","",I14*60)</f>
        <v>201.99959999999999</v>
      </c>
      <c r="S14">
        <f>IF(J14="","",J14*60)</f>
        <v>570</v>
      </c>
      <c r="T14" s="3">
        <f>ROUND(IF(L14="",AVERAGE(L:L),L14)+IF(M14="",AVERAGE(M:M),M14)+IF(N14="",AVERAGE(N:N),N14)+IF(O14="",AVERAGE(O:O),O14)+IF(P14="",AVERAGE(P:P),P14)+IF(Q14="",AVERAGE(Q:Q),Q14)+IF(R14="",AVERAGE(R:R),R14)+IF(S14="",AVERAGE(S:S),S14), 4-(1+INT(LOG10(ABS(IF(L14="",AVERAGE(L:L),L14)+IF(M14="",AVERAGE(M:M),M14)+IF(N14="",AVERAGE(N:N),N14)+IF(O14="",AVERAGE(O:O),O14)+IF(P14="",AVERAGE(P:P),P14)+IF(Q14="",AVERAGE(Q:Q),Q14)+IF(R14="",AVERAGE(R:R),R14)+IF(S14="",AVERAGE(S:S),S14))))))</f>
        <v>2029</v>
      </c>
    </row>
    <row r="15" spans="1:25" x14ac:dyDescent="0.3">
      <c r="A15" s="1">
        <v>45884.610300925924</v>
      </c>
      <c r="B15">
        <v>1755283130</v>
      </c>
      <c r="C15">
        <v>2.1833300000000002</v>
      </c>
      <c r="D15">
        <v>8.5833300000000001</v>
      </c>
      <c r="E15">
        <v>2.85</v>
      </c>
      <c r="F15">
        <v>1.9</v>
      </c>
      <c r="G15">
        <v>0.7</v>
      </c>
      <c r="H15">
        <v>5.45</v>
      </c>
      <c r="I15">
        <v>3.36666</v>
      </c>
      <c r="J15">
        <v>9.8833300000000008</v>
      </c>
      <c r="L15">
        <f>IF(C15="","",C15*60)</f>
        <v>130.99980000000002</v>
      </c>
      <c r="M15">
        <f>IF(D15="","",D15*60)</f>
        <v>514.99980000000005</v>
      </c>
      <c r="N15">
        <f>IF(E15="","",E15*60)</f>
        <v>171</v>
      </c>
      <c r="O15">
        <f>IF(F15="","",F15*60)</f>
        <v>114</v>
      </c>
      <c r="P15">
        <f>IF(G15="","",G15*60)</f>
        <v>42</v>
      </c>
      <c r="Q15">
        <f>IF(H15="","",H15*60)</f>
        <v>327</v>
      </c>
      <c r="R15">
        <f>IF(I15="","",I15*60)</f>
        <v>201.99959999999999</v>
      </c>
      <c r="S15">
        <f>IF(J15="","",J15*60)</f>
        <v>592.99980000000005</v>
      </c>
      <c r="T15" s="3">
        <f>ROUND(IF(L15="",AVERAGE(L:L),L15)+IF(M15="",AVERAGE(M:M),M15)+IF(N15="",AVERAGE(N:N),N15)+IF(O15="",AVERAGE(O:O),O15)+IF(P15="",AVERAGE(P:P),P15)+IF(Q15="",AVERAGE(Q:Q),Q15)+IF(R15="",AVERAGE(R:R),R15)+IF(S15="",AVERAGE(S:S),S15), 4-(1+INT(LOG10(ABS(IF(L15="",AVERAGE(L:L),L15)+IF(M15="",AVERAGE(M:M),M15)+IF(N15="",AVERAGE(N:N),N15)+IF(O15="",AVERAGE(O:O),O15)+IF(P15="",AVERAGE(P:P),P15)+IF(Q15="",AVERAGE(Q:Q),Q15)+IF(R15="",AVERAGE(R:R),R15)+IF(S15="",AVERAGE(S:S),S15))))))</f>
        <v>2095</v>
      </c>
    </row>
    <row r="16" spans="1:25" x14ac:dyDescent="0.3">
      <c r="A16" s="1">
        <v>45884.638333333336</v>
      </c>
      <c r="B16">
        <v>1755285552</v>
      </c>
      <c r="C16">
        <v>2.11666</v>
      </c>
      <c r="D16">
        <v>8.5833300000000001</v>
      </c>
      <c r="E16">
        <v>3.1333299999999999</v>
      </c>
      <c r="F16">
        <v>1.9</v>
      </c>
      <c r="G16">
        <v>0.7</v>
      </c>
      <c r="H16">
        <v>5.3666600000000004</v>
      </c>
      <c r="I16">
        <v>3.2666599999999999</v>
      </c>
      <c r="J16">
        <v>9.1333300000000008</v>
      </c>
      <c r="L16">
        <f>IF(C16="","",C16*60)</f>
        <v>126.9996</v>
      </c>
      <c r="M16">
        <f>IF(D16="","",D16*60)</f>
        <v>514.99980000000005</v>
      </c>
      <c r="N16">
        <f>IF(E16="","",E16*60)</f>
        <v>187.99979999999999</v>
      </c>
      <c r="O16">
        <f>IF(F16="","",F16*60)</f>
        <v>114</v>
      </c>
      <c r="P16">
        <f>IF(G16="","",G16*60)</f>
        <v>42</v>
      </c>
      <c r="Q16">
        <f>IF(H16="","",H16*60)</f>
        <v>321.99960000000004</v>
      </c>
      <c r="R16">
        <f>IF(I16="","",I16*60)</f>
        <v>195.99959999999999</v>
      </c>
      <c r="S16">
        <f>IF(J16="","",J16*60)</f>
        <v>547.99980000000005</v>
      </c>
      <c r="T16" s="3">
        <f>ROUND(IF(L16="",AVERAGE(L:L),L16)+IF(M16="",AVERAGE(M:M),M16)+IF(N16="",AVERAGE(N:N),N16)+IF(O16="",AVERAGE(O:O),O16)+IF(P16="",AVERAGE(P:P),P16)+IF(Q16="",AVERAGE(Q:Q),Q16)+IF(R16="",AVERAGE(R:R),R16)+IF(S16="",AVERAGE(S:S),S16), 4-(1+INT(LOG10(ABS(IF(L16="",AVERAGE(L:L),L16)+IF(M16="",AVERAGE(M:M),M16)+IF(N16="",AVERAGE(N:N),N16)+IF(O16="",AVERAGE(O:O),O16)+IF(P16="",AVERAGE(P:P),P16)+IF(Q16="",AVERAGE(Q:Q),Q16)+IF(R16="",AVERAGE(R:R),R16)+IF(S16="",AVERAGE(S:S),S16))))))</f>
        <v>2052</v>
      </c>
    </row>
    <row r="17" spans="1:20" x14ac:dyDescent="0.3">
      <c r="A17" s="1">
        <v>45884.663530092592</v>
      </c>
      <c r="B17">
        <v>1755287729</v>
      </c>
      <c r="C17">
        <v>2.75</v>
      </c>
      <c r="E17">
        <v>3.3</v>
      </c>
      <c r="F17">
        <v>2.61666</v>
      </c>
      <c r="G17">
        <v>0.85</v>
      </c>
      <c r="H17">
        <v>6</v>
      </c>
      <c r="I17">
        <v>3.55</v>
      </c>
      <c r="J17">
        <v>9.5500000000000007</v>
      </c>
      <c r="L17">
        <f>IF(C17="","",C17*60)</f>
        <v>165</v>
      </c>
      <c r="M17" t="str">
        <f>IF(D17="","",D17*60)</f>
        <v/>
      </c>
      <c r="N17">
        <f>IF(E17="","",E17*60)</f>
        <v>198</v>
      </c>
      <c r="O17">
        <f>IF(F17="","",F17*60)</f>
        <v>156.99959999999999</v>
      </c>
      <c r="P17">
        <f>IF(G17="","",G17*60)</f>
        <v>51</v>
      </c>
      <c r="Q17">
        <f>IF(H17="","",H17*60)</f>
        <v>360</v>
      </c>
      <c r="R17">
        <f>IF(I17="","",I17*60)</f>
        <v>213</v>
      </c>
      <c r="S17">
        <f>IF(J17="","",J17*60)</f>
        <v>573</v>
      </c>
      <c r="T17" s="3">
        <f>ROUND(IF(L17="",AVERAGE(L:L),L17)+IF(M17="",AVERAGE(M:M),M17)+IF(N17="",AVERAGE(N:N),N17)+IF(O17="",AVERAGE(O:O),O17)+IF(P17="",AVERAGE(P:P),P17)+IF(Q17="",AVERAGE(Q:Q),Q17)+IF(R17="",AVERAGE(R:R),R17)+IF(S17="",AVERAGE(S:S),S17), 4-(1+INT(LOG10(ABS(IF(L17="",AVERAGE(L:L),L17)+IF(M17="",AVERAGE(M:M),M17)+IF(N17="",AVERAGE(N:N),N17)+IF(O17="",AVERAGE(O:O),O17)+IF(P17="",AVERAGE(P:P),P17)+IF(Q17="",AVERAGE(Q:Q),Q17)+IF(R17="",AVERAGE(R:R),R17)+IF(S17="",AVERAGE(S:S),S17))))))</f>
        <v>2207</v>
      </c>
    </row>
    <row r="18" spans="1:20" x14ac:dyDescent="0.3">
      <c r="A18" s="1">
        <v>45884.690023148149</v>
      </c>
      <c r="B18">
        <v>1755290018</v>
      </c>
      <c r="C18">
        <v>2.25</v>
      </c>
      <c r="E18">
        <v>2.9166599999999998</v>
      </c>
      <c r="F18">
        <v>2.7</v>
      </c>
      <c r="G18">
        <v>1</v>
      </c>
      <c r="H18">
        <v>6.05</v>
      </c>
      <c r="I18">
        <v>3.7166600000000001</v>
      </c>
      <c r="J18">
        <v>10.066660000000001</v>
      </c>
      <c r="L18">
        <f>IF(C18="","",C18*60)</f>
        <v>135</v>
      </c>
      <c r="M18" t="str">
        <f>IF(D18="","",D18*60)</f>
        <v/>
      </c>
      <c r="N18">
        <f>IF(E18="","",E18*60)</f>
        <v>174.99959999999999</v>
      </c>
      <c r="O18">
        <f>IF(F18="","",F18*60)</f>
        <v>162</v>
      </c>
      <c r="P18">
        <f>IF(G18="","",G18*60)</f>
        <v>60</v>
      </c>
      <c r="Q18">
        <f>IF(H18="","",H18*60)</f>
        <v>363</v>
      </c>
      <c r="R18">
        <f>IF(I18="","",I18*60)</f>
        <v>222.99960000000002</v>
      </c>
      <c r="S18">
        <f>IF(J18="","",J18*60)</f>
        <v>603.99959999999999</v>
      </c>
      <c r="T18" s="3">
        <f>ROUND(IF(L18="",AVERAGE(L:L),L18)+IF(M18="",AVERAGE(M:M),M18)+IF(N18="",AVERAGE(N:N),N18)+IF(O18="",AVERAGE(O:O),O18)+IF(P18="",AVERAGE(P:P),P18)+IF(Q18="",AVERAGE(Q:Q),Q18)+IF(R18="",AVERAGE(R:R),R18)+IF(S18="",AVERAGE(S:S),S18), 4-(1+INT(LOG10(ABS(IF(L18="",AVERAGE(L:L),L18)+IF(M18="",AVERAGE(M:M),M18)+IF(N18="",AVERAGE(N:N),N18)+IF(O18="",AVERAGE(O:O),O18)+IF(P18="",AVERAGE(P:P),P18)+IF(Q18="",AVERAGE(Q:Q),Q18)+IF(R18="",AVERAGE(R:R),R18)+IF(S18="",AVERAGE(S:S),S18))))))</f>
        <v>2212</v>
      </c>
    </row>
    <row r="19" spans="1:20" x14ac:dyDescent="0.3">
      <c r="A19" s="1">
        <v>45884.769791666666</v>
      </c>
      <c r="B19">
        <v>1755296910</v>
      </c>
      <c r="C19">
        <v>2.6333299999999999</v>
      </c>
      <c r="D19">
        <v>8.3333300000000001</v>
      </c>
      <c r="E19">
        <v>3.2833299999999999</v>
      </c>
      <c r="F19">
        <v>2.7666599999999999</v>
      </c>
      <c r="G19">
        <v>0.71665999999999996</v>
      </c>
      <c r="H19">
        <v>6.6166600000000004</v>
      </c>
      <c r="I19">
        <v>3.8</v>
      </c>
      <c r="L19">
        <f>IF(C19="","",C19*60)</f>
        <v>157.99979999999999</v>
      </c>
      <c r="M19">
        <f>IF(D19="","",D19*60)</f>
        <v>499.99979999999999</v>
      </c>
      <c r="N19">
        <f>IF(E19="","",E19*60)</f>
        <v>196.99979999999999</v>
      </c>
      <c r="O19">
        <f>IF(F19="","",F19*60)</f>
        <v>165.99959999999999</v>
      </c>
      <c r="P19">
        <f>IF(G19="","",G19*60)</f>
        <v>42.999600000000001</v>
      </c>
      <c r="Q19">
        <f>IF(H19="","",H19*60)</f>
        <v>396.99960000000004</v>
      </c>
      <c r="R19">
        <f>IF(I19="","",I19*60)</f>
        <v>228</v>
      </c>
      <c r="S19" t="str">
        <f>IF(J19="","",J19*60)</f>
        <v/>
      </c>
      <c r="T19" s="3">
        <f>ROUND(IF(L19="",AVERAGE(L:L),L19)+IF(M19="",AVERAGE(M:M),M19)+IF(N19="",AVERAGE(N:N),N19)+IF(O19="",AVERAGE(O:O),O19)+IF(P19="",AVERAGE(P:P),P19)+IF(Q19="",AVERAGE(Q:Q),Q19)+IF(R19="",AVERAGE(R:R),R19)+IF(S19="",AVERAGE(S:S),S19), 4-(1+INT(LOG10(ABS(IF(L19="",AVERAGE(L:L),L19)+IF(M19="",AVERAGE(M:M),M19)+IF(N19="",AVERAGE(N:N),N19)+IF(O19="",AVERAGE(O:O),O19)+IF(P19="",AVERAGE(P:P),P19)+IF(Q19="",AVERAGE(Q:Q),Q19)+IF(R19="",AVERAGE(R:R),R19)+IF(S19="",AVERAGE(S:S),S19))))))</f>
        <v>2307</v>
      </c>
    </row>
    <row r="20" spans="1:20" x14ac:dyDescent="0.3">
      <c r="A20" s="1">
        <v>45884.797164351854</v>
      </c>
      <c r="B20">
        <v>1755299275</v>
      </c>
      <c r="C20">
        <v>2.15</v>
      </c>
      <c r="D20">
        <v>7.6</v>
      </c>
      <c r="E20">
        <v>3.1666599999999998</v>
      </c>
      <c r="F20">
        <v>1.93333</v>
      </c>
      <c r="G20">
        <v>0.7</v>
      </c>
      <c r="H20">
        <v>5.5833300000000001</v>
      </c>
      <c r="I20">
        <v>3.3166600000000002</v>
      </c>
      <c r="J20">
        <v>9.1166599999999995</v>
      </c>
      <c r="L20">
        <f>IF(C20="","",C20*60)</f>
        <v>129</v>
      </c>
      <c r="M20">
        <f>IF(D20="","",D20*60)</f>
        <v>456</v>
      </c>
      <c r="N20">
        <f>IF(E20="","",E20*60)</f>
        <v>189.99959999999999</v>
      </c>
      <c r="O20">
        <f>IF(F20="","",F20*60)</f>
        <v>115.99979999999999</v>
      </c>
      <c r="P20">
        <f>IF(G20="","",G20*60)</f>
        <v>42</v>
      </c>
      <c r="Q20">
        <f>IF(H20="","",H20*60)</f>
        <v>334.99979999999999</v>
      </c>
      <c r="R20">
        <f>IF(I20="","",I20*60)</f>
        <v>198.99960000000002</v>
      </c>
      <c r="S20">
        <f>IF(J20="","",J20*60)</f>
        <v>546.99959999999999</v>
      </c>
      <c r="T20" s="3">
        <f>ROUND(IF(L20="",AVERAGE(L:L),L20)+IF(M20="",AVERAGE(M:M),M20)+IF(N20="",AVERAGE(N:N),N20)+IF(O20="",AVERAGE(O:O),O20)+IF(P20="",AVERAGE(P:P),P20)+IF(Q20="",AVERAGE(Q:Q),Q20)+IF(R20="",AVERAGE(R:R),R20)+IF(S20="",AVERAGE(S:S),S20), 4-(1+INT(LOG10(ABS(IF(L20="",AVERAGE(L:L),L20)+IF(M20="",AVERAGE(M:M),M20)+IF(N20="",AVERAGE(N:N),N20)+IF(O20="",AVERAGE(O:O),O20)+IF(P20="",AVERAGE(P:P),P20)+IF(Q20="",AVERAGE(Q:Q),Q20)+IF(R20="",AVERAGE(R:R),R20)+IF(S20="",AVERAGE(S:S),S20))))))</f>
        <v>2014</v>
      </c>
    </row>
    <row r="21" spans="1:20" x14ac:dyDescent="0.3">
      <c r="A21" s="1">
        <v>45884.824525462966</v>
      </c>
      <c r="B21">
        <v>1755301639</v>
      </c>
      <c r="C21">
        <v>2.1666599999999998</v>
      </c>
      <c r="D21">
        <v>7.5833300000000001</v>
      </c>
      <c r="E21">
        <v>3.1333299999999999</v>
      </c>
      <c r="F21">
        <v>2.3166600000000002</v>
      </c>
      <c r="G21">
        <v>0.7</v>
      </c>
      <c r="H21">
        <v>5.3833299999999999</v>
      </c>
      <c r="I21">
        <v>3.3</v>
      </c>
      <c r="J21">
        <v>8.8666599999999995</v>
      </c>
      <c r="L21">
        <f>IF(C21="","",C21*60)</f>
        <v>129.99959999999999</v>
      </c>
      <c r="M21">
        <f>IF(D21="","",D21*60)</f>
        <v>454.99979999999999</v>
      </c>
      <c r="N21">
        <f>IF(E21="","",E21*60)</f>
        <v>187.99979999999999</v>
      </c>
      <c r="O21">
        <f>IF(F21="","",F21*60)</f>
        <v>138.99960000000002</v>
      </c>
      <c r="P21">
        <f>IF(G21="","",G21*60)</f>
        <v>42</v>
      </c>
      <c r="Q21">
        <f>IF(H21="","",H21*60)</f>
        <v>322.99979999999999</v>
      </c>
      <c r="R21">
        <f>IF(I21="","",I21*60)</f>
        <v>198</v>
      </c>
      <c r="S21">
        <f>IF(J21="","",J21*60)</f>
        <v>531.99959999999999</v>
      </c>
      <c r="T21" s="3">
        <f>ROUND(IF(L21="",AVERAGE(L:L),L21)+IF(M21="",AVERAGE(M:M),M21)+IF(N21="",AVERAGE(N:N),N21)+IF(O21="",AVERAGE(O:O),O21)+IF(P21="",AVERAGE(P:P),P21)+IF(Q21="",AVERAGE(Q:Q),Q21)+IF(R21="",AVERAGE(R:R),R21)+IF(S21="",AVERAGE(S:S),S21), 4-(1+INT(LOG10(ABS(IF(L21="",AVERAGE(L:L),L21)+IF(M21="",AVERAGE(M:M),M21)+IF(N21="",AVERAGE(N:N),N21)+IF(O21="",AVERAGE(O:O),O21)+IF(P21="",AVERAGE(P:P),P21)+IF(Q21="",AVERAGE(Q:Q),Q21)+IF(R21="",AVERAGE(R:R),R21)+IF(S21="",AVERAGE(S:S),S21))))))</f>
        <v>2007</v>
      </c>
    </row>
    <row r="22" spans="1:20" x14ac:dyDescent="0.3">
      <c r="A22" s="1">
        <v>45884.851979166669</v>
      </c>
      <c r="B22">
        <v>1755304011</v>
      </c>
      <c r="C22">
        <v>2.2666599999999999</v>
      </c>
      <c r="D22">
        <v>8.1833299999999998</v>
      </c>
      <c r="E22">
        <v>2.95</v>
      </c>
      <c r="F22">
        <v>1.9</v>
      </c>
      <c r="G22">
        <v>0.7</v>
      </c>
      <c r="H22">
        <v>5.2</v>
      </c>
      <c r="I22">
        <v>3.4</v>
      </c>
      <c r="J22">
        <v>8.8833300000000008</v>
      </c>
      <c r="L22">
        <f>IF(C22="","",C22*60)</f>
        <v>135.99959999999999</v>
      </c>
      <c r="M22">
        <f>IF(D22="","",D22*60)</f>
        <v>490.99979999999999</v>
      </c>
      <c r="N22">
        <f>IF(E22="","",E22*60)</f>
        <v>177</v>
      </c>
      <c r="O22">
        <f>IF(F22="","",F22*60)</f>
        <v>114</v>
      </c>
      <c r="P22">
        <f>IF(G22="","",G22*60)</f>
        <v>42</v>
      </c>
      <c r="Q22">
        <f>IF(H22="","",H22*60)</f>
        <v>312</v>
      </c>
      <c r="R22">
        <f>IF(I22="","",I22*60)</f>
        <v>204</v>
      </c>
      <c r="S22">
        <f>IF(J22="","",J22*60)</f>
        <v>532.99980000000005</v>
      </c>
      <c r="T22" s="3">
        <f>ROUND(IF(L22="",AVERAGE(L:L),L22)+IF(M22="",AVERAGE(M:M),M22)+IF(N22="",AVERAGE(N:N),N22)+IF(O22="",AVERAGE(O:O),O22)+IF(P22="",AVERAGE(P:P),P22)+IF(Q22="",AVERAGE(Q:Q),Q22)+IF(R22="",AVERAGE(R:R),R22)+IF(S22="",AVERAGE(S:S),S22), 4-(1+INT(LOG10(ABS(IF(L22="",AVERAGE(L:L),L22)+IF(M22="",AVERAGE(M:M),M22)+IF(N22="",AVERAGE(N:N),N22)+IF(O22="",AVERAGE(O:O),O22)+IF(P22="",AVERAGE(P:P),P22)+IF(Q22="",AVERAGE(Q:Q),Q22)+IF(R22="",AVERAGE(R:R),R22)+IF(S22="",AVERAGE(S:S),S22))))))</f>
        <v>2009</v>
      </c>
    </row>
    <row r="23" spans="1:20" x14ac:dyDescent="0.3">
      <c r="A23" s="1">
        <v>45884.879930555559</v>
      </c>
      <c r="B23">
        <v>1755306426</v>
      </c>
      <c r="C23">
        <v>2.15</v>
      </c>
      <c r="D23">
        <v>8.25</v>
      </c>
      <c r="E23">
        <v>2.75</v>
      </c>
      <c r="F23">
        <v>1.86666</v>
      </c>
      <c r="G23">
        <v>0.8</v>
      </c>
      <c r="H23">
        <v>5.35</v>
      </c>
      <c r="I23">
        <v>3.2833299999999999</v>
      </c>
      <c r="J23">
        <v>9.8833300000000008</v>
      </c>
      <c r="L23">
        <f>IF(C23="","",C23*60)</f>
        <v>129</v>
      </c>
      <c r="M23">
        <f>IF(D23="","",D23*60)</f>
        <v>495</v>
      </c>
      <c r="N23">
        <f>IF(E23="","",E23*60)</f>
        <v>165</v>
      </c>
      <c r="O23">
        <f>IF(F23="","",F23*60)</f>
        <v>111.9996</v>
      </c>
      <c r="P23">
        <f>IF(G23="","",G23*60)</f>
        <v>48</v>
      </c>
      <c r="Q23">
        <f>IF(H23="","",H23*60)</f>
        <v>321</v>
      </c>
      <c r="R23">
        <f>IF(I23="","",I23*60)</f>
        <v>196.99979999999999</v>
      </c>
      <c r="S23">
        <f>IF(J23="","",J23*60)</f>
        <v>592.99980000000005</v>
      </c>
      <c r="T23" s="3">
        <f>ROUND(IF(L23="",AVERAGE(L:L),L23)+IF(M23="",AVERAGE(M:M),M23)+IF(N23="",AVERAGE(N:N),N23)+IF(O23="",AVERAGE(O:O),O23)+IF(P23="",AVERAGE(P:P),P23)+IF(Q23="",AVERAGE(Q:Q),Q23)+IF(R23="",AVERAGE(R:R),R23)+IF(S23="",AVERAGE(S:S),S23), 4-(1+INT(LOG10(ABS(IF(L23="",AVERAGE(L:L),L23)+IF(M23="",AVERAGE(M:M),M23)+IF(N23="",AVERAGE(N:N),N23)+IF(O23="",AVERAGE(O:O),O23)+IF(P23="",AVERAGE(P:P),P23)+IF(Q23="",AVERAGE(Q:Q),Q23)+IF(R23="",AVERAGE(R:R),R23)+IF(S23="",AVERAGE(S:S),S23))))))</f>
        <v>2060</v>
      </c>
    </row>
    <row r="24" spans="1:20" x14ac:dyDescent="0.3">
      <c r="A24" s="1">
        <v>45884.909942129627</v>
      </c>
      <c r="B24">
        <v>1755309019</v>
      </c>
      <c r="C24">
        <v>2.8</v>
      </c>
      <c r="D24">
        <v>8.6833299999999998</v>
      </c>
      <c r="E24">
        <v>3.1833300000000002</v>
      </c>
      <c r="F24">
        <v>2.7</v>
      </c>
      <c r="G24">
        <v>1.0166599999999999</v>
      </c>
      <c r="H24">
        <v>5.3</v>
      </c>
      <c r="I24">
        <v>3.3166600000000002</v>
      </c>
      <c r="J24">
        <v>9.5500000000000007</v>
      </c>
      <c r="L24">
        <f>IF(C24="","",C24*60)</f>
        <v>168</v>
      </c>
      <c r="M24">
        <f>IF(D24="","",D24*60)</f>
        <v>520.99979999999994</v>
      </c>
      <c r="N24">
        <f>IF(E24="","",E24*60)</f>
        <v>190.99980000000002</v>
      </c>
      <c r="O24">
        <f>IF(F24="","",F24*60)</f>
        <v>162</v>
      </c>
      <c r="P24">
        <f>IF(G24="","",G24*60)</f>
        <v>60.999599999999994</v>
      </c>
      <c r="Q24">
        <f>IF(H24="","",H24*60)</f>
        <v>318</v>
      </c>
      <c r="R24">
        <f>IF(I24="","",I24*60)</f>
        <v>198.99960000000002</v>
      </c>
      <c r="S24">
        <f>IF(J24="","",J24*60)</f>
        <v>573</v>
      </c>
      <c r="T24" s="3">
        <f>ROUND(IF(L24="",AVERAGE(L:L),L24)+IF(M24="",AVERAGE(M:M),M24)+IF(N24="",AVERAGE(N:N),N24)+IF(O24="",AVERAGE(O:O),O24)+IF(P24="",AVERAGE(P:P),P24)+IF(Q24="",AVERAGE(Q:Q),Q24)+IF(R24="",AVERAGE(R:R),R24)+IF(S24="",AVERAGE(S:S),S24), 4-(1+INT(LOG10(ABS(IF(L24="",AVERAGE(L:L),L24)+IF(M24="",AVERAGE(M:M),M24)+IF(N24="",AVERAGE(N:N),N24)+IF(O24="",AVERAGE(O:O),O24)+IF(P24="",AVERAGE(P:P),P24)+IF(Q24="",AVERAGE(Q:Q),Q24)+IF(R24="",AVERAGE(R:R),R24)+IF(S24="",AVERAGE(S:S),S24))))))</f>
        <v>2193</v>
      </c>
    </row>
    <row r="25" spans="1:20" x14ac:dyDescent="0.3">
      <c r="A25" s="1">
        <v>45884.941087962965</v>
      </c>
      <c r="B25">
        <v>1755311710</v>
      </c>
      <c r="C25">
        <v>2.5666600000000002</v>
      </c>
      <c r="D25">
        <v>9.5666600000000006</v>
      </c>
      <c r="E25">
        <v>3.35</v>
      </c>
      <c r="F25">
        <v>2.25</v>
      </c>
      <c r="G25">
        <v>0.93332999999999999</v>
      </c>
      <c r="H25">
        <v>6.2166600000000001</v>
      </c>
      <c r="I25">
        <v>3.7</v>
      </c>
      <c r="J25">
        <v>9.8833300000000008</v>
      </c>
      <c r="L25">
        <f>IF(C25="","",C25*60)</f>
        <v>153.99960000000002</v>
      </c>
      <c r="M25">
        <f>IF(D25="","",D25*60)</f>
        <v>573.99959999999999</v>
      </c>
      <c r="N25">
        <f>IF(E25="","",E25*60)</f>
        <v>201</v>
      </c>
      <c r="O25">
        <f>IF(F25="","",F25*60)</f>
        <v>135</v>
      </c>
      <c r="P25">
        <f>IF(G25="","",G25*60)</f>
        <v>55.9998</v>
      </c>
      <c r="Q25">
        <f>IF(H25="","",H25*60)</f>
        <v>372.99959999999999</v>
      </c>
      <c r="R25">
        <f>IF(I25="","",I25*60)</f>
        <v>222</v>
      </c>
      <c r="S25">
        <f>IF(J25="","",J25*60)</f>
        <v>592.99980000000005</v>
      </c>
      <c r="T25" s="3">
        <f>ROUND(IF(L25="",AVERAGE(L:L),L25)+IF(M25="",AVERAGE(M:M),M25)+IF(N25="",AVERAGE(N:N),N25)+IF(O25="",AVERAGE(O:O),O25)+IF(P25="",AVERAGE(P:P),P25)+IF(Q25="",AVERAGE(Q:Q),Q25)+IF(R25="",AVERAGE(R:R),R25)+IF(S25="",AVERAGE(S:S),S25), 4-(1+INT(LOG10(ABS(IF(L25="",AVERAGE(L:L),L25)+IF(M25="",AVERAGE(M:M),M25)+IF(N25="",AVERAGE(N:N),N25)+IF(O25="",AVERAGE(O:O),O25)+IF(P25="",AVERAGE(P:P),P25)+IF(Q25="",AVERAGE(Q:Q),Q25)+IF(R25="",AVERAGE(R:R),R25)+IF(S25="",AVERAGE(S:S),S25))))))</f>
        <v>2308</v>
      </c>
    </row>
    <row r="26" spans="1:20" x14ac:dyDescent="0.3">
      <c r="A26" s="1">
        <v>45884.972754629627</v>
      </c>
      <c r="B26">
        <v>1755314446</v>
      </c>
      <c r="C26">
        <v>2.98333</v>
      </c>
      <c r="D26">
        <v>8.5833300000000001</v>
      </c>
      <c r="E26">
        <v>3.7666599999999999</v>
      </c>
      <c r="F26">
        <v>2.2999999999999998</v>
      </c>
      <c r="G26">
        <v>0.78332999999999997</v>
      </c>
      <c r="H26">
        <v>5.2666599999999999</v>
      </c>
      <c r="I26">
        <v>3.4166599999999998</v>
      </c>
      <c r="J26">
        <v>11.43333</v>
      </c>
      <c r="L26">
        <f>IF(C26="","",C26*60)</f>
        <v>178.99979999999999</v>
      </c>
      <c r="M26">
        <f>IF(D26="","",D26*60)</f>
        <v>514.99980000000005</v>
      </c>
      <c r="N26">
        <f>IF(E26="","",E26*60)</f>
        <v>225.99959999999999</v>
      </c>
      <c r="O26">
        <f>IF(F26="","",F26*60)</f>
        <v>138</v>
      </c>
      <c r="P26">
        <f>IF(G26="","",G26*60)</f>
        <v>46.9998</v>
      </c>
      <c r="Q26">
        <f>IF(H26="","",H26*60)</f>
        <v>315.99959999999999</v>
      </c>
      <c r="R26">
        <f>IF(I26="","",I26*60)</f>
        <v>204.99959999999999</v>
      </c>
      <c r="S26">
        <f>IF(J26="","",J26*60)</f>
        <v>685.99979999999994</v>
      </c>
      <c r="T26" s="3">
        <f>ROUND(IF(L26="",AVERAGE(L:L),L26)+IF(M26="",AVERAGE(M:M),M26)+IF(N26="",AVERAGE(N:N),N26)+IF(O26="",AVERAGE(O:O),O26)+IF(P26="",AVERAGE(P:P),P26)+IF(Q26="",AVERAGE(Q:Q),Q26)+IF(R26="",AVERAGE(R:R),R26)+IF(S26="",AVERAGE(S:S),S26), 4-(1+INT(LOG10(ABS(IF(L26="",AVERAGE(L:L),L26)+IF(M26="",AVERAGE(M:M),M26)+IF(N26="",AVERAGE(N:N),N26)+IF(O26="",AVERAGE(O:O),O26)+IF(P26="",AVERAGE(P:P),P26)+IF(Q26="",AVERAGE(Q:Q),Q26)+IF(R26="",AVERAGE(R:R),R26)+IF(S26="",AVERAGE(S:S),S26))))))</f>
        <v>2312</v>
      </c>
    </row>
    <row r="27" spans="1:20" x14ac:dyDescent="0.3">
      <c r="A27" s="1">
        <v>45885.001064814816</v>
      </c>
      <c r="B27">
        <v>1755316892</v>
      </c>
      <c r="C27">
        <v>2.1666599999999998</v>
      </c>
      <c r="D27">
        <v>8.65</v>
      </c>
      <c r="E27">
        <v>2.7666599999999999</v>
      </c>
      <c r="F27">
        <v>2.2833299999999999</v>
      </c>
      <c r="G27">
        <v>0.7</v>
      </c>
      <c r="H27">
        <v>4.9833299999999996</v>
      </c>
      <c r="I27">
        <v>3.25</v>
      </c>
      <c r="J27">
        <v>9.7666599999999999</v>
      </c>
      <c r="L27">
        <f>IF(C27="","",C27*60)</f>
        <v>129.99959999999999</v>
      </c>
      <c r="M27">
        <f>IF(D27="","",D27*60)</f>
        <v>519</v>
      </c>
      <c r="N27">
        <f>IF(E27="","",E27*60)</f>
        <v>165.99959999999999</v>
      </c>
      <c r="O27">
        <f>IF(F27="","",F27*60)</f>
        <v>136.99979999999999</v>
      </c>
      <c r="P27">
        <f>IF(G27="","",G27*60)</f>
        <v>42</v>
      </c>
      <c r="Q27">
        <f>IF(H27="","",H27*60)</f>
        <v>298.99979999999999</v>
      </c>
      <c r="R27">
        <f>IF(I27="","",I27*60)</f>
        <v>195</v>
      </c>
      <c r="S27">
        <f>IF(J27="","",J27*60)</f>
        <v>585.99959999999999</v>
      </c>
      <c r="T27" s="3">
        <f>ROUND(IF(L27="",AVERAGE(L:L),L27)+IF(M27="",AVERAGE(M:M),M27)+IF(N27="",AVERAGE(N:N),N27)+IF(O27="",AVERAGE(O:O),O27)+IF(P27="",AVERAGE(P:P),P27)+IF(Q27="",AVERAGE(Q:Q),Q27)+IF(R27="",AVERAGE(R:R),R27)+IF(S27="",AVERAGE(S:S),S27), 4-(1+INT(LOG10(ABS(IF(L27="",AVERAGE(L:L),L27)+IF(M27="",AVERAGE(M:M),M27)+IF(N27="",AVERAGE(N:N),N27)+IF(O27="",AVERAGE(O:O),O27)+IF(P27="",AVERAGE(P:P),P27)+IF(Q27="",AVERAGE(Q:Q),Q27)+IF(R27="",AVERAGE(R:R),R27)+IF(S27="",AVERAGE(S:S),S27))))))</f>
        <v>2074</v>
      </c>
    </row>
    <row r="28" spans="1:20" x14ac:dyDescent="0.3">
      <c r="A28" s="1">
        <v>45885.030081018522</v>
      </c>
      <c r="B28">
        <v>1755319399</v>
      </c>
      <c r="C28">
        <v>2.11666</v>
      </c>
      <c r="D28">
        <v>8.4166600000000003</v>
      </c>
      <c r="E28">
        <v>2.7666599999999999</v>
      </c>
      <c r="F28">
        <v>3.3333300000000001</v>
      </c>
      <c r="G28">
        <v>0.71665999999999996</v>
      </c>
      <c r="H28">
        <v>5.2333299999999996</v>
      </c>
      <c r="I28">
        <v>3.36666</v>
      </c>
      <c r="J28">
        <v>9.6</v>
      </c>
      <c r="L28">
        <f>IF(C28="","",C28*60)</f>
        <v>126.9996</v>
      </c>
      <c r="M28">
        <f>IF(D28="","",D28*60)</f>
        <v>504.99959999999999</v>
      </c>
      <c r="N28">
        <f>IF(E28="","",E28*60)</f>
        <v>165.99959999999999</v>
      </c>
      <c r="O28">
        <f>IF(F28="","",F28*60)</f>
        <v>199.99979999999999</v>
      </c>
      <c r="P28">
        <f>IF(G28="","",G28*60)</f>
        <v>42.999600000000001</v>
      </c>
      <c r="Q28">
        <f>IF(H28="","",H28*60)</f>
        <v>313.99979999999999</v>
      </c>
      <c r="R28">
        <f>IF(I28="","",I28*60)</f>
        <v>201.99959999999999</v>
      </c>
      <c r="S28">
        <f>IF(J28="","",J28*60)</f>
        <v>576</v>
      </c>
      <c r="T28" s="3">
        <f>ROUND(IF(L28="",AVERAGE(L:L),L28)+IF(M28="",AVERAGE(M:M),M28)+IF(N28="",AVERAGE(N:N),N28)+IF(O28="",AVERAGE(O:O),O28)+IF(P28="",AVERAGE(P:P),P28)+IF(Q28="",AVERAGE(Q:Q),Q28)+IF(R28="",AVERAGE(R:R),R28)+IF(S28="",AVERAGE(S:S),S28), 4-(1+INT(LOG10(ABS(IF(L28="",AVERAGE(L:L),L28)+IF(M28="",AVERAGE(M:M),M28)+IF(N28="",AVERAGE(N:N),N28)+IF(O28="",AVERAGE(O:O),O28)+IF(P28="",AVERAGE(P:P),P28)+IF(Q28="",AVERAGE(Q:Q),Q28)+IF(R28="",AVERAGE(R:R),R28)+IF(S28="",AVERAGE(S:S),S28))))))</f>
        <v>2133</v>
      </c>
    </row>
    <row r="29" spans="1:20" x14ac:dyDescent="0.3">
      <c r="A29" s="1">
        <v>45885.058067129627</v>
      </c>
      <c r="B29">
        <v>1755321817</v>
      </c>
      <c r="C29">
        <v>2.11666</v>
      </c>
      <c r="D29">
        <v>8.65</v>
      </c>
      <c r="E29">
        <v>2.7666599999999999</v>
      </c>
      <c r="F29">
        <v>1.9</v>
      </c>
      <c r="G29">
        <v>0.7</v>
      </c>
      <c r="H29">
        <v>5.3166599999999997</v>
      </c>
      <c r="I29">
        <v>3.3</v>
      </c>
      <c r="J29">
        <v>9.3000000000000007</v>
      </c>
      <c r="L29">
        <f>IF(C29="","",C29*60)</f>
        <v>126.9996</v>
      </c>
      <c r="M29">
        <f>IF(D29="","",D29*60)</f>
        <v>519</v>
      </c>
      <c r="N29">
        <f>IF(E29="","",E29*60)</f>
        <v>165.99959999999999</v>
      </c>
      <c r="O29">
        <f>IF(F29="","",F29*60)</f>
        <v>114</v>
      </c>
      <c r="P29">
        <f>IF(G29="","",G29*60)</f>
        <v>42</v>
      </c>
      <c r="Q29">
        <f>IF(H29="","",H29*60)</f>
        <v>318.99959999999999</v>
      </c>
      <c r="R29">
        <f>IF(I29="","",I29*60)</f>
        <v>198</v>
      </c>
      <c r="S29">
        <f>IF(J29="","",J29*60)</f>
        <v>558</v>
      </c>
      <c r="T29" s="3">
        <f>ROUND(IF(L29="",AVERAGE(L:L),L29)+IF(M29="",AVERAGE(M:M),M29)+IF(N29="",AVERAGE(N:N),N29)+IF(O29="",AVERAGE(O:O),O29)+IF(P29="",AVERAGE(P:P),P29)+IF(Q29="",AVERAGE(Q:Q),Q29)+IF(R29="",AVERAGE(R:R),R29)+IF(S29="",AVERAGE(S:S),S29), 4-(1+INT(LOG10(ABS(IF(L29="",AVERAGE(L:L),L29)+IF(M29="",AVERAGE(M:M),M29)+IF(N29="",AVERAGE(N:N),N29)+IF(O29="",AVERAGE(O:O),O29)+IF(P29="",AVERAGE(P:P),P29)+IF(Q29="",AVERAGE(Q:Q),Q29)+IF(R29="",AVERAGE(R:R),R29)+IF(S29="",AVERAGE(S:S),S29))))))</f>
        <v>2043</v>
      </c>
    </row>
    <row r="30" spans="1:20" x14ac:dyDescent="0.3">
      <c r="A30" s="1">
        <v>45885.086284722223</v>
      </c>
      <c r="B30">
        <v>1755324255</v>
      </c>
      <c r="C30">
        <v>2.2166600000000001</v>
      </c>
      <c r="D30">
        <v>8.4</v>
      </c>
      <c r="E30">
        <v>3.23333</v>
      </c>
      <c r="F30">
        <v>1.91666</v>
      </c>
      <c r="G30">
        <v>0.71665999999999996</v>
      </c>
      <c r="H30">
        <v>5.2666599999999999</v>
      </c>
      <c r="I30">
        <v>3.4666600000000001</v>
      </c>
      <c r="J30">
        <v>9.3166600000000006</v>
      </c>
      <c r="L30">
        <f>IF(C30="","",C30*60)</f>
        <v>132.99960000000002</v>
      </c>
      <c r="M30">
        <f>IF(D30="","",D30*60)</f>
        <v>504</v>
      </c>
      <c r="N30">
        <f>IF(E30="","",E30*60)</f>
        <v>193.99979999999999</v>
      </c>
      <c r="O30">
        <f>IF(F30="","",F30*60)</f>
        <v>114.9996</v>
      </c>
      <c r="P30">
        <f>IF(G30="","",G30*60)</f>
        <v>42.999600000000001</v>
      </c>
      <c r="Q30">
        <f>IF(H30="","",H30*60)</f>
        <v>315.99959999999999</v>
      </c>
      <c r="R30">
        <f>IF(I30="","",I30*60)</f>
        <v>207.99960000000002</v>
      </c>
      <c r="S30">
        <f>IF(J30="","",J30*60)</f>
        <v>558.99959999999999</v>
      </c>
      <c r="T30" s="3">
        <f>ROUND(IF(L30="",AVERAGE(L:L),L30)+IF(M30="",AVERAGE(M:M),M30)+IF(N30="",AVERAGE(N:N),N30)+IF(O30="",AVERAGE(O:O),O30)+IF(P30="",AVERAGE(P:P),P30)+IF(Q30="",AVERAGE(Q:Q),Q30)+IF(R30="",AVERAGE(R:R),R30)+IF(S30="",AVERAGE(S:S),S30), 4-(1+INT(LOG10(ABS(IF(L30="",AVERAGE(L:L),L30)+IF(M30="",AVERAGE(M:M),M30)+IF(N30="",AVERAGE(N:N),N30)+IF(O30="",AVERAGE(O:O),O30)+IF(P30="",AVERAGE(P:P),P30)+IF(Q30="",AVERAGE(Q:Q),Q30)+IF(R30="",AVERAGE(R:R),R30)+IF(S30="",AVERAGE(S:S),S30))))))</f>
        <v>2072</v>
      </c>
    </row>
    <row r="31" spans="1:20" x14ac:dyDescent="0.3">
      <c r="A31" s="1">
        <v>45885.110486111109</v>
      </c>
      <c r="B31">
        <v>1755326346</v>
      </c>
      <c r="C31">
        <v>2.11666</v>
      </c>
      <c r="E31">
        <v>2.7833299999999999</v>
      </c>
      <c r="F31">
        <v>1.8833299999999999</v>
      </c>
      <c r="G31">
        <v>0.68332999999999999</v>
      </c>
      <c r="H31">
        <v>5.2333299999999996</v>
      </c>
      <c r="I31">
        <v>3.2666599999999999</v>
      </c>
      <c r="J31">
        <v>9.3666599999999995</v>
      </c>
      <c r="L31">
        <f>IF(C31="","",C31*60)</f>
        <v>126.9996</v>
      </c>
      <c r="M31" t="str">
        <f>IF(D31="","",D31*60)</f>
        <v/>
      </c>
      <c r="N31">
        <f>IF(E31="","",E31*60)</f>
        <v>166.99979999999999</v>
      </c>
      <c r="O31">
        <f>IF(F31="","",F31*60)</f>
        <v>112.99979999999999</v>
      </c>
      <c r="P31">
        <f>IF(G31="","",G31*60)</f>
        <v>40.9998</v>
      </c>
      <c r="Q31">
        <f>IF(H31="","",H31*60)</f>
        <v>313.99979999999999</v>
      </c>
      <c r="R31">
        <f>IF(I31="","",I31*60)</f>
        <v>195.99959999999999</v>
      </c>
      <c r="S31">
        <f>IF(J31="","",J31*60)</f>
        <v>561.99959999999999</v>
      </c>
      <c r="T31" s="3">
        <f>ROUND(IF(L31="",AVERAGE(L:L),L31)+IF(M31="",AVERAGE(M:M),M31)+IF(N31="",AVERAGE(N:N),N31)+IF(O31="",AVERAGE(O:O),O31)+IF(P31="",AVERAGE(P:P),P31)+IF(Q31="",AVERAGE(Q:Q),Q31)+IF(R31="",AVERAGE(R:R),R31)+IF(S31="",AVERAGE(S:S),S31), 4-(1+INT(LOG10(ABS(IF(L31="",AVERAGE(L:L),L31)+IF(M31="",AVERAGE(M:M),M31)+IF(N31="",AVERAGE(N:N),N31)+IF(O31="",AVERAGE(O:O),O31)+IF(P31="",AVERAGE(P:P),P31)+IF(Q31="",AVERAGE(Q:Q),Q31)+IF(R31="",AVERAGE(R:R),R31)+IF(S31="",AVERAGE(S:S),S31))))))</f>
        <v>2010</v>
      </c>
    </row>
    <row r="32" spans="1:20" x14ac:dyDescent="0.3">
      <c r="A32" s="1">
        <v>45885.137048611112</v>
      </c>
      <c r="B32">
        <v>1755328641</v>
      </c>
      <c r="C32">
        <v>2.1333299999999999</v>
      </c>
      <c r="E32">
        <v>3.1666599999999998</v>
      </c>
      <c r="F32">
        <v>1.9</v>
      </c>
      <c r="G32">
        <v>0.71665999999999996</v>
      </c>
      <c r="H32">
        <v>5.3666600000000004</v>
      </c>
      <c r="I32">
        <v>3.2666599999999999</v>
      </c>
      <c r="J32">
        <v>11.45</v>
      </c>
      <c r="L32">
        <f>IF(C32="","",C32*60)</f>
        <v>127.99979999999999</v>
      </c>
      <c r="M32" t="str">
        <f>IF(D32="","",D32*60)</f>
        <v/>
      </c>
      <c r="N32">
        <f>IF(E32="","",E32*60)</f>
        <v>189.99959999999999</v>
      </c>
      <c r="O32">
        <f>IF(F32="","",F32*60)</f>
        <v>114</v>
      </c>
      <c r="P32">
        <f>IF(G32="","",G32*60)</f>
        <v>42.999600000000001</v>
      </c>
      <c r="Q32">
        <f>IF(H32="","",H32*60)</f>
        <v>321.99960000000004</v>
      </c>
      <c r="R32">
        <f>IF(I32="","",I32*60)</f>
        <v>195.99959999999999</v>
      </c>
      <c r="S32">
        <f>IF(J32="","",J32*60)</f>
        <v>687</v>
      </c>
      <c r="T32" s="3">
        <f>ROUND(IF(L32="",AVERAGE(L:L),L32)+IF(M32="",AVERAGE(M:M),M32)+IF(N32="",AVERAGE(N:N),N32)+IF(O32="",AVERAGE(O:O),O32)+IF(P32="",AVERAGE(P:P),P32)+IF(Q32="",AVERAGE(Q:Q),Q32)+IF(R32="",AVERAGE(R:R),R32)+IF(S32="",AVERAGE(S:S),S32), 4-(1+INT(LOG10(ABS(IF(L32="",AVERAGE(L:L),L32)+IF(M32="",AVERAGE(M:M),M32)+IF(N32="",AVERAGE(N:N),N32)+IF(O32="",AVERAGE(O:O),O32)+IF(P32="",AVERAGE(P:P),P32)+IF(Q32="",AVERAGE(Q:Q),Q32)+IF(R32="",AVERAGE(R:R),R32)+IF(S32="",AVERAGE(S:S),S32))))))</f>
        <v>2170</v>
      </c>
    </row>
    <row r="33" spans="1:20" x14ac:dyDescent="0.3">
      <c r="A33" s="1">
        <v>45885.162928240738</v>
      </c>
      <c r="B33">
        <v>1755330877</v>
      </c>
      <c r="C33">
        <v>2.65</v>
      </c>
      <c r="E33">
        <v>2.95</v>
      </c>
      <c r="F33">
        <v>2.36666</v>
      </c>
      <c r="G33">
        <v>0.73333000000000004</v>
      </c>
      <c r="H33">
        <v>5.9666600000000001</v>
      </c>
      <c r="I33">
        <v>3.6</v>
      </c>
      <c r="J33">
        <v>9.3000000000000007</v>
      </c>
      <c r="L33">
        <f>IF(C33="","",C33*60)</f>
        <v>159</v>
      </c>
      <c r="M33" t="str">
        <f>IF(D33="","",D33*60)</f>
        <v/>
      </c>
      <c r="N33">
        <f>IF(E33="","",E33*60)</f>
        <v>177</v>
      </c>
      <c r="O33">
        <f>IF(F33="","",F33*60)</f>
        <v>141.99959999999999</v>
      </c>
      <c r="P33">
        <f>IF(G33="","",G33*60)</f>
        <v>43.9998</v>
      </c>
      <c r="Q33">
        <f>IF(H33="","",H33*60)</f>
        <v>357.99959999999999</v>
      </c>
      <c r="R33">
        <f>IF(I33="","",I33*60)</f>
        <v>216</v>
      </c>
      <c r="S33">
        <f>IF(J33="","",J33*60)</f>
        <v>558</v>
      </c>
      <c r="T33" s="3">
        <f>ROUND(IF(L33="",AVERAGE(L:L),L33)+IF(M33="",AVERAGE(M:M),M33)+IF(N33="",AVERAGE(N:N),N33)+IF(O33="",AVERAGE(O:O),O33)+IF(P33="",AVERAGE(P:P),P33)+IF(Q33="",AVERAGE(Q:Q),Q33)+IF(R33="",AVERAGE(R:R),R33)+IF(S33="",AVERAGE(S:S),S33), 4-(1+INT(LOG10(ABS(IF(L33="",AVERAGE(L:L),L33)+IF(M33="",AVERAGE(M:M),M33)+IF(N33="",AVERAGE(N:N),N33)+IF(O33="",AVERAGE(O:O),O33)+IF(P33="",AVERAGE(P:P),P33)+IF(Q33="",AVERAGE(Q:Q),Q33)+IF(R33="",AVERAGE(R:R),R33)+IF(S33="",AVERAGE(S:S),S33))))))</f>
        <v>2144</v>
      </c>
    </row>
    <row r="34" spans="1:20" x14ac:dyDescent="0.3">
      <c r="A34" s="1">
        <v>45885.189629629633</v>
      </c>
      <c r="B34">
        <v>1755333184</v>
      </c>
      <c r="C34">
        <v>2.6833300000000002</v>
      </c>
      <c r="E34">
        <v>3.11666</v>
      </c>
      <c r="F34">
        <v>2.6333299999999999</v>
      </c>
      <c r="G34">
        <v>0.75</v>
      </c>
      <c r="H34">
        <v>6.3166599999999997</v>
      </c>
      <c r="I34">
        <v>3.5333299999999999</v>
      </c>
      <c r="J34">
        <v>9.6166599999999995</v>
      </c>
      <c r="L34">
        <f>IF(C34="","",C34*60)</f>
        <v>160.99980000000002</v>
      </c>
      <c r="M34" t="str">
        <f>IF(D34="","",D34*60)</f>
        <v/>
      </c>
      <c r="N34">
        <f>IF(E34="","",E34*60)</f>
        <v>186.99959999999999</v>
      </c>
      <c r="O34">
        <f>IF(F34="","",F34*60)</f>
        <v>157.99979999999999</v>
      </c>
      <c r="P34">
        <f>IF(G34="","",G34*60)</f>
        <v>45</v>
      </c>
      <c r="Q34">
        <f>IF(H34="","",H34*60)</f>
        <v>378.99959999999999</v>
      </c>
      <c r="R34">
        <f>IF(I34="","",I34*60)</f>
        <v>211.99979999999999</v>
      </c>
      <c r="S34">
        <f>IF(J34="","",J34*60)</f>
        <v>576.99959999999999</v>
      </c>
      <c r="T34" s="3">
        <f>ROUND(IF(L34="",AVERAGE(L:L),L34)+IF(M34="",AVERAGE(M:M),M34)+IF(N34="",AVERAGE(N:N),N34)+IF(O34="",AVERAGE(O:O),O34)+IF(P34="",AVERAGE(P:P),P34)+IF(Q34="",AVERAGE(Q:Q),Q34)+IF(R34="",AVERAGE(R:R),R34)+IF(S34="",AVERAGE(S:S),S34), 4-(1+INT(LOG10(ABS(IF(L34="",AVERAGE(L:L),L34)+IF(M34="",AVERAGE(M:M),M34)+IF(N34="",AVERAGE(N:N),N34)+IF(O34="",AVERAGE(O:O),O34)+IF(P34="",AVERAGE(P:P),P34)+IF(Q34="",AVERAGE(Q:Q),Q34)+IF(R34="",AVERAGE(R:R),R34)+IF(S34="",AVERAGE(S:S),S34))))))</f>
        <v>2209</v>
      </c>
    </row>
    <row r="35" spans="1:20" x14ac:dyDescent="0.3">
      <c r="A35" s="1">
        <v>45885.220405092594</v>
      </c>
      <c r="B35">
        <v>1755335843</v>
      </c>
      <c r="C35">
        <v>2.48333</v>
      </c>
      <c r="E35">
        <v>3.3166600000000002</v>
      </c>
      <c r="F35">
        <v>2.11666</v>
      </c>
      <c r="G35">
        <v>0.8</v>
      </c>
      <c r="H35">
        <v>6.6833299999999998</v>
      </c>
      <c r="I35">
        <v>3.7833299999999999</v>
      </c>
      <c r="J35">
        <v>9.7333300000000005</v>
      </c>
      <c r="L35">
        <f>IF(C35="","",C35*60)</f>
        <v>148.99979999999999</v>
      </c>
      <c r="M35" t="str">
        <f>IF(D35="","",D35*60)</f>
        <v/>
      </c>
      <c r="N35">
        <f>IF(E35="","",E35*60)</f>
        <v>198.99960000000002</v>
      </c>
      <c r="O35">
        <f>IF(F35="","",F35*60)</f>
        <v>126.9996</v>
      </c>
      <c r="P35">
        <f>IF(G35="","",G35*60)</f>
        <v>48</v>
      </c>
      <c r="Q35">
        <f>IF(H35="","",H35*60)</f>
        <v>400.99979999999999</v>
      </c>
      <c r="R35">
        <f>IF(I35="","",I35*60)</f>
        <v>226.99979999999999</v>
      </c>
      <c r="S35">
        <f>IF(J35="","",J35*60)</f>
        <v>583.99980000000005</v>
      </c>
      <c r="T35" s="3">
        <f>ROUND(IF(L35="",AVERAGE(L:L),L35)+IF(M35="",AVERAGE(M:M),M35)+IF(N35="",AVERAGE(N:N),N35)+IF(O35="",AVERAGE(O:O),O35)+IF(P35="",AVERAGE(P:P),P35)+IF(Q35="",AVERAGE(Q:Q),Q35)+IF(R35="",AVERAGE(R:R),R35)+IF(S35="",AVERAGE(S:S),S35), 4-(1+INT(LOG10(ABS(IF(L35="",AVERAGE(L:L),L35)+IF(M35="",AVERAGE(M:M),M35)+IF(N35="",AVERAGE(N:N),N35)+IF(O35="",AVERAGE(O:O),O35)+IF(P35="",AVERAGE(P:P),P35)+IF(Q35="",AVERAGE(Q:Q),Q35)+IF(R35="",AVERAGE(R:R),R35)+IF(S35="",AVERAGE(S:S),S35))))))</f>
        <v>2225</v>
      </c>
    </row>
    <row r="36" spans="1:20" x14ac:dyDescent="0.3">
      <c r="A36" s="1">
        <v>45885.244722222225</v>
      </c>
      <c r="B36">
        <v>1755337944</v>
      </c>
      <c r="C36">
        <v>2.25</v>
      </c>
      <c r="E36">
        <v>3.1</v>
      </c>
      <c r="F36">
        <v>1.85</v>
      </c>
      <c r="G36">
        <v>0.7</v>
      </c>
      <c r="H36">
        <v>5.0833300000000001</v>
      </c>
      <c r="I36">
        <v>3.25</v>
      </c>
      <c r="J36">
        <v>9.4166600000000003</v>
      </c>
      <c r="L36">
        <f>IF(C36="","",C36*60)</f>
        <v>135</v>
      </c>
      <c r="M36" t="str">
        <f>IF(D36="","",D36*60)</f>
        <v/>
      </c>
      <c r="N36">
        <f>IF(E36="","",E36*60)</f>
        <v>186</v>
      </c>
      <c r="O36">
        <f>IF(F36="","",F36*60)</f>
        <v>111</v>
      </c>
      <c r="P36">
        <f>IF(G36="","",G36*60)</f>
        <v>42</v>
      </c>
      <c r="Q36">
        <f>IF(H36="","",H36*60)</f>
        <v>304.99979999999999</v>
      </c>
      <c r="R36">
        <f>IF(I36="","",I36*60)</f>
        <v>195</v>
      </c>
      <c r="S36">
        <f>IF(J36="","",J36*60)</f>
        <v>564.99959999999999</v>
      </c>
      <c r="T36" s="3">
        <f>ROUND(IF(L36="",AVERAGE(L:L),L36)+IF(M36="",AVERAGE(M:M),M36)+IF(N36="",AVERAGE(N:N),N36)+IF(O36="",AVERAGE(O:O),O36)+IF(P36="",AVERAGE(P:P),P36)+IF(Q36="",AVERAGE(Q:Q),Q36)+IF(R36="",AVERAGE(R:R),R36)+IF(S36="",AVERAGE(S:S),S36), 4-(1+INT(LOG10(ABS(IF(L36="",AVERAGE(L:L),L36)+IF(M36="",AVERAGE(M:M),M36)+IF(N36="",AVERAGE(N:N),N36)+IF(O36="",AVERAGE(O:O),O36)+IF(P36="",AVERAGE(P:P),P36)+IF(Q36="",AVERAGE(Q:Q),Q36)+IF(R36="",AVERAGE(R:R),R36)+IF(S36="",AVERAGE(S:S),S36))))))</f>
        <v>2029</v>
      </c>
    </row>
    <row r="37" spans="1:20" x14ac:dyDescent="0.3">
      <c r="A37" s="1">
        <v>45885.26935185185</v>
      </c>
      <c r="B37">
        <v>1755340072</v>
      </c>
      <c r="C37">
        <v>2.1333299999999999</v>
      </c>
      <c r="E37">
        <v>2.75</v>
      </c>
      <c r="F37">
        <v>1.95</v>
      </c>
      <c r="G37">
        <v>0.71665999999999996</v>
      </c>
      <c r="H37">
        <v>5.0999999999999996</v>
      </c>
      <c r="I37">
        <v>3.3833299999999999</v>
      </c>
      <c r="J37">
        <v>10.050000000000001</v>
      </c>
      <c r="L37">
        <f>IF(C37="","",C37*60)</f>
        <v>127.99979999999999</v>
      </c>
      <c r="M37" t="str">
        <f>IF(D37="","",D37*60)</f>
        <v/>
      </c>
      <c r="N37">
        <f>IF(E37="","",E37*60)</f>
        <v>165</v>
      </c>
      <c r="O37">
        <f>IF(F37="","",F37*60)</f>
        <v>117</v>
      </c>
      <c r="P37">
        <f>IF(G37="","",G37*60)</f>
        <v>42.999600000000001</v>
      </c>
      <c r="Q37">
        <f>IF(H37="","",H37*60)</f>
        <v>306</v>
      </c>
      <c r="R37">
        <f>IF(I37="","",I37*60)</f>
        <v>202.99979999999999</v>
      </c>
      <c r="S37">
        <f>IF(J37="","",J37*60)</f>
        <v>603</v>
      </c>
      <c r="T37" s="3">
        <f>ROUND(IF(L37="",AVERAGE(L:L),L37)+IF(M37="",AVERAGE(M:M),M37)+IF(N37="",AVERAGE(N:N),N37)+IF(O37="",AVERAGE(O:O),O37)+IF(P37="",AVERAGE(P:P),P37)+IF(Q37="",AVERAGE(Q:Q),Q37)+IF(R37="",AVERAGE(R:R),R37)+IF(S37="",AVERAGE(S:S),S37), 4-(1+INT(LOG10(ABS(IF(L37="",AVERAGE(L:L),L37)+IF(M37="",AVERAGE(M:M),M37)+IF(N37="",AVERAGE(N:N),N37)+IF(O37="",AVERAGE(O:O),O37)+IF(P37="",AVERAGE(P:P),P37)+IF(Q37="",AVERAGE(Q:Q),Q37)+IF(R37="",AVERAGE(R:R),R37)+IF(S37="",AVERAGE(S:S),S37))))))</f>
        <v>2055</v>
      </c>
    </row>
    <row r="38" spans="1:20" x14ac:dyDescent="0.3">
      <c r="A38" s="1">
        <v>45885.294629629629</v>
      </c>
      <c r="B38">
        <v>1755342256</v>
      </c>
      <c r="C38">
        <v>2.1</v>
      </c>
      <c r="E38">
        <v>2.7666599999999999</v>
      </c>
      <c r="F38">
        <v>1.86666</v>
      </c>
      <c r="G38">
        <v>0.68332999999999999</v>
      </c>
      <c r="H38">
        <v>5.0333300000000003</v>
      </c>
      <c r="I38">
        <v>3.1833300000000002</v>
      </c>
      <c r="J38">
        <v>10.033329999999999</v>
      </c>
      <c r="L38">
        <f>IF(C38="","",C38*60)</f>
        <v>126</v>
      </c>
      <c r="M38" t="str">
        <f>IF(D38="","",D38*60)</f>
        <v/>
      </c>
      <c r="N38">
        <f>IF(E38="","",E38*60)</f>
        <v>165.99959999999999</v>
      </c>
      <c r="O38">
        <f>IF(F38="","",F38*60)</f>
        <v>111.9996</v>
      </c>
      <c r="P38">
        <f>IF(G38="","",G38*60)</f>
        <v>40.9998</v>
      </c>
      <c r="Q38">
        <f>IF(H38="","",H38*60)</f>
        <v>301.99979999999999</v>
      </c>
      <c r="R38">
        <f>IF(I38="","",I38*60)</f>
        <v>190.99980000000002</v>
      </c>
      <c r="S38">
        <f>IF(J38="","",J38*60)</f>
        <v>601.99979999999994</v>
      </c>
      <c r="T38" s="3">
        <f>ROUND(IF(L38="",AVERAGE(L:L),L38)+IF(M38="",AVERAGE(M:M),M38)+IF(N38="",AVERAGE(N:N),N38)+IF(O38="",AVERAGE(O:O),O38)+IF(P38="",AVERAGE(P:P),P38)+IF(Q38="",AVERAGE(Q:Q),Q38)+IF(R38="",AVERAGE(R:R),R38)+IF(S38="",AVERAGE(S:S),S38), 4-(1+INT(LOG10(ABS(IF(L38="",AVERAGE(L:L),L38)+IF(M38="",AVERAGE(M:M),M38)+IF(N38="",AVERAGE(N:N),N38)+IF(O38="",AVERAGE(O:O),O38)+IF(P38="",AVERAGE(P:P),P38)+IF(Q38="",AVERAGE(Q:Q),Q38)+IF(R38="",AVERAGE(R:R),R38)+IF(S38="",AVERAGE(S:S),S38))))))</f>
        <v>2030</v>
      </c>
    </row>
    <row r="39" spans="1:20" x14ac:dyDescent="0.3">
      <c r="A39" s="1">
        <v>45885.318356481483</v>
      </c>
      <c r="B39">
        <v>1755344306</v>
      </c>
      <c r="C39">
        <v>2.0833300000000001</v>
      </c>
      <c r="E39">
        <v>2.7166600000000001</v>
      </c>
      <c r="F39">
        <v>1.86666</v>
      </c>
      <c r="G39">
        <v>0.7</v>
      </c>
      <c r="H39">
        <v>5.2</v>
      </c>
      <c r="I39">
        <v>3.25</v>
      </c>
      <c r="J39">
        <v>9.4166600000000003</v>
      </c>
      <c r="L39">
        <f>IF(C39="","",C39*60)</f>
        <v>124.99980000000001</v>
      </c>
      <c r="M39" t="str">
        <f>IF(D39="","",D39*60)</f>
        <v/>
      </c>
      <c r="N39">
        <f>IF(E39="","",E39*60)</f>
        <v>162.99960000000002</v>
      </c>
      <c r="O39">
        <f>IF(F39="","",F39*60)</f>
        <v>111.9996</v>
      </c>
      <c r="P39">
        <f>IF(G39="","",G39*60)</f>
        <v>42</v>
      </c>
      <c r="Q39">
        <f>IF(H39="","",H39*60)</f>
        <v>312</v>
      </c>
      <c r="R39">
        <f>IF(I39="","",I39*60)</f>
        <v>195</v>
      </c>
      <c r="S39">
        <f>IF(J39="","",J39*60)</f>
        <v>564.99959999999999</v>
      </c>
      <c r="T39" s="3">
        <f>ROUND(IF(L39="",AVERAGE(L:L),L39)+IF(M39="",AVERAGE(M:M),M39)+IF(N39="",AVERAGE(N:N),N39)+IF(O39="",AVERAGE(O:O),O39)+IF(P39="",AVERAGE(P:P),P39)+IF(Q39="",AVERAGE(Q:Q),Q39)+IF(R39="",AVERAGE(R:R),R39)+IF(S39="",AVERAGE(S:S),S39), 4-(1+INT(LOG10(ABS(IF(L39="",AVERAGE(L:L),L39)+IF(M39="",AVERAGE(M:M),M39)+IF(N39="",AVERAGE(N:N),N39)+IF(O39="",AVERAGE(O:O),O39)+IF(P39="",AVERAGE(P:P),P39)+IF(Q39="",AVERAGE(Q:Q),Q39)+IF(R39="",AVERAGE(R:R),R39)+IF(S39="",AVERAGE(S:S),S39))))))</f>
        <v>2004</v>
      </c>
    </row>
    <row r="40" spans="1:20" x14ac:dyDescent="0.3">
      <c r="A40" s="1">
        <v>45885.342592592591</v>
      </c>
      <c r="B40">
        <v>1755346400</v>
      </c>
      <c r="C40">
        <v>2.2166600000000001</v>
      </c>
      <c r="E40">
        <v>2.6666599999999998</v>
      </c>
      <c r="F40">
        <v>1.85</v>
      </c>
      <c r="G40">
        <v>0.7</v>
      </c>
      <c r="H40">
        <v>5.2166600000000001</v>
      </c>
      <c r="I40">
        <v>3.45</v>
      </c>
      <c r="J40">
        <v>9.3000000000000007</v>
      </c>
      <c r="L40">
        <f>IF(C40="","",C40*60)</f>
        <v>132.99960000000002</v>
      </c>
      <c r="M40" t="str">
        <f>IF(D40="","",D40*60)</f>
        <v/>
      </c>
      <c r="N40">
        <f>IF(E40="","",E40*60)</f>
        <v>159.99959999999999</v>
      </c>
      <c r="O40">
        <f>IF(F40="","",F40*60)</f>
        <v>111</v>
      </c>
      <c r="P40">
        <f>IF(G40="","",G40*60)</f>
        <v>42</v>
      </c>
      <c r="Q40">
        <f>IF(H40="","",H40*60)</f>
        <v>312.99959999999999</v>
      </c>
      <c r="R40">
        <f>IF(I40="","",I40*60)</f>
        <v>207</v>
      </c>
      <c r="S40">
        <f>IF(J40="","",J40*60)</f>
        <v>558</v>
      </c>
      <c r="T40" s="3">
        <f>ROUND(IF(L40="",AVERAGE(L:L),L40)+IF(M40="",AVERAGE(M:M),M40)+IF(N40="",AVERAGE(N:N),N40)+IF(O40="",AVERAGE(O:O),O40)+IF(P40="",AVERAGE(P:P),P40)+IF(Q40="",AVERAGE(Q:Q),Q40)+IF(R40="",AVERAGE(R:R),R40)+IF(S40="",AVERAGE(S:S),S40), 4-(1+INT(LOG10(ABS(IF(L40="",AVERAGE(L:L),L40)+IF(M40="",AVERAGE(M:M),M40)+IF(N40="",AVERAGE(N:N),N40)+IF(O40="",AVERAGE(O:O),O40)+IF(P40="",AVERAGE(P:P),P40)+IF(Q40="",AVERAGE(Q:Q),Q40)+IF(R40="",AVERAGE(R:R),R40)+IF(S40="",AVERAGE(S:S),S40))))))</f>
        <v>2014</v>
      </c>
    </row>
    <row r="41" spans="1:20" x14ac:dyDescent="0.3">
      <c r="A41" s="1">
        <v>45885.356087962966</v>
      </c>
      <c r="B41">
        <v>1755347566</v>
      </c>
      <c r="C41">
        <v>2.1666599999999998</v>
      </c>
      <c r="E41">
        <v>2.73333</v>
      </c>
      <c r="F41">
        <v>2.2166600000000001</v>
      </c>
      <c r="G41">
        <v>0.7</v>
      </c>
      <c r="H41">
        <v>5.35</v>
      </c>
      <c r="I41">
        <v>3.1666599999999998</v>
      </c>
      <c r="L41">
        <f>IF(C41="","",C41*60)</f>
        <v>129.99959999999999</v>
      </c>
      <c r="M41" t="str">
        <f>IF(D41="","",D41*60)</f>
        <v/>
      </c>
      <c r="N41">
        <f>IF(E41="","",E41*60)</f>
        <v>163.99979999999999</v>
      </c>
      <c r="O41">
        <f>IF(F41="","",F41*60)</f>
        <v>132.99960000000002</v>
      </c>
      <c r="P41">
        <f>IF(G41="","",G41*60)</f>
        <v>42</v>
      </c>
      <c r="Q41">
        <f>IF(H41="","",H41*60)</f>
        <v>321</v>
      </c>
      <c r="R41">
        <f>IF(I41="","",I41*60)</f>
        <v>189.99959999999999</v>
      </c>
      <c r="S41" t="str">
        <f>IF(J41="","",J41*60)</f>
        <v/>
      </c>
      <c r="T41" s="3">
        <f>ROUND(IF(L41="",AVERAGE(L:L),L41)+IF(M41="",AVERAGE(M:M),M41)+IF(N41="",AVERAGE(N:N),N41)+IF(O41="",AVERAGE(O:O),O41)+IF(P41="",AVERAGE(P:P),P41)+IF(Q41="",AVERAGE(Q:Q),Q41)+IF(R41="",AVERAGE(R:R),R41)+IF(S41="",AVERAGE(S:S),S41), 4-(1+INT(LOG10(ABS(IF(L41="",AVERAGE(L:L),L41)+IF(M41="",AVERAGE(M:M),M41)+IF(N41="",AVERAGE(N:N),N41)+IF(O41="",AVERAGE(O:O),O41)+IF(P41="",AVERAGE(P:P),P41)+IF(Q41="",AVERAGE(Q:Q),Q41)+IF(R41="",AVERAGE(R:R),R41)+IF(S41="",AVERAGE(S:S),S41))))))</f>
        <v>2088</v>
      </c>
    </row>
    <row r="42" spans="1:20" x14ac:dyDescent="0.3">
      <c r="A42" s="1">
        <v>45885.387511574074</v>
      </c>
      <c r="B42">
        <v>1755350281</v>
      </c>
      <c r="C42">
        <v>2.6</v>
      </c>
      <c r="D42">
        <v>9.1</v>
      </c>
      <c r="E42">
        <v>3.0166599999999999</v>
      </c>
      <c r="F42">
        <v>1.9</v>
      </c>
      <c r="G42">
        <v>0.7</v>
      </c>
      <c r="H42">
        <v>5.25</v>
      </c>
      <c r="I42">
        <v>3.35</v>
      </c>
      <c r="J42">
        <v>10.41666</v>
      </c>
      <c r="L42">
        <f>IF(C42="","",C42*60)</f>
        <v>156</v>
      </c>
      <c r="M42">
        <f>IF(D42="","",D42*60)</f>
        <v>546</v>
      </c>
      <c r="N42">
        <f>IF(E42="","",E42*60)</f>
        <v>180.99959999999999</v>
      </c>
      <c r="O42">
        <f>IF(F42="","",F42*60)</f>
        <v>114</v>
      </c>
      <c r="P42">
        <f>IF(G42="","",G42*60)</f>
        <v>42</v>
      </c>
      <c r="Q42">
        <f>IF(H42="","",H42*60)</f>
        <v>315</v>
      </c>
      <c r="R42">
        <f>IF(I42="","",I42*60)</f>
        <v>201</v>
      </c>
      <c r="S42">
        <f>IF(J42="","",J42*60)</f>
        <v>624.99959999999999</v>
      </c>
      <c r="T42" s="3">
        <f>ROUND(IF(L42="",AVERAGE(L:L),L42)+IF(M42="",AVERAGE(M:M),M42)+IF(N42="",AVERAGE(N:N),N42)+IF(O42="",AVERAGE(O:O),O42)+IF(P42="",AVERAGE(P:P),P42)+IF(Q42="",AVERAGE(Q:Q),Q42)+IF(R42="",AVERAGE(R:R),R42)+IF(S42="",AVERAGE(S:S),S42), 4-(1+INT(LOG10(ABS(IF(L42="",AVERAGE(L:L),L42)+IF(M42="",AVERAGE(M:M),M42)+IF(N42="",AVERAGE(N:N),N42)+IF(O42="",AVERAGE(O:O),O42)+IF(P42="",AVERAGE(P:P),P42)+IF(Q42="",AVERAGE(Q:Q),Q42)+IF(R42="",AVERAGE(R:R),R42)+IF(S42="",AVERAGE(S:S),S42))))))</f>
        <v>2180</v>
      </c>
    </row>
    <row r="43" spans="1:20" x14ac:dyDescent="0.3">
      <c r="A43" s="1">
        <v>45885.41615740741</v>
      </c>
      <c r="B43">
        <v>1755352756</v>
      </c>
      <c r="C43">
        <v>2.1833300000000002</v>
      </c>
      <c r="D43">
        <v>8.6999999999999993</v>
      </c>
      <c r="E43">
        <v>3.1833300000000002</v>
      </c>
      <c r="F43">
        <v>1.8833299999999999</v>
      </c>
      <c r="G43">
        <v>0.78332999999999997</v>
      </c>
      <c r="H43">
        <v>5.3666600000000004</v>
      </c>
      <c r="I43">
        <v>3.5166599999999999</v>
      </c>
      <c r="J43">
        <v>9.3166600000000006</v>
      </c>
      <c r="L43">
        <f>IF(C43="","",C43*60)</f>
        <v>130.99980000000002</v>
      </c>
      <c r="M43">
        <f>IF(D43="","",D43*60)</f>
        <v>522</v>
      </c>
      <c r="N43">
        <f>IF(E43="","",E43*60)</f>
        <v>190.99980000000002</v>
      </c>
      <c r="O43">
        <f>IF(F43="","",F43*60)</f>
        <v>112.99979999999999</v>
      </c>
      <c r="P43">
        <f>IF(G43="","",G43*60)</f>
        <v>46.9998</v>
      </c>
      <c r="Q43">
        <f>IF(H43="","",H43*60)</f>
        <v>321.99960000000004</v>
      </c>
      <c r="R43">
        <f>IF(I43="","",I43*60)</f>
        <v>210.99959999999999</v>
      </c>
      <c r="S43">
        <f>IF(J43="","",J43*60)</f>
        <v>558.99959999999999</v>
      </c>
      <c r="T43" s="3">
        <f>ROUND(IF(L43="",AVERAGE(L:L),L43)+IF(M43="",AVERAGE(M:M),M43)+IF(N43="",AVERAGE(N:N),N43)+IF(O43="",AVERAGE(O:O),O43)+IF(P43="",AVERAGE(P:P),P43)+IF(Q43="",AVERAGE(Q:Q),Q43)+IF(R43="",AVERAGE(R:R),R43)+IF(S43="",AVERAGE(S:S),S43), 4-(1+INT(LOG10(ABS(IF(L43="",AVERAGE(L:L),L43)+IF(M43="",AVERAGE(M:M),M43)+IF(N43="",AVERAGE(N:N),N43)+IF(O43="",AVERAGE(O:O),O43)+IF(P43="",AVERAGE(P:P),P43)+IF(Q43="",AVERAGE(Q:Q),Q43)+IF(R43="",AVERAGE(R:R),R43)+IF(S43="",AVERAGE(S:S),S43))))))</f>
        <v>2096</v>
      </c>
    </row>
    <row r="44" spans="1:20" x14ac:dyDescent="0.3">
      <c r="A44" s="1">
        <v>45885.444097222222</v>
      </c>
      <c r="B44">
        <v>1755355170</v>
      </c>
      <c r="C44">
        <v>2.73333</v>
      </c>
      <c r="D44">
        <v>7.95</v>
      </c>
      <c r="E44">
        <v>2.86666</v>
      </c>
      <c r="F44">
        <v>2.2166600000000001</v>
      </c>
      <c r="G44">
        <v>0.8</v>
      </c>
      <c r="H44">
        <v>5.1666600000000003</v>
      </c>
      <c r="I44">
        <v>3.2</v>
      </c>
      <c r="J44">
        <v>8.6666600000000003</v>
      </c>
      <c r="L44">
        <f>IF(C44="","",C44*60)</f>
        <v>163.99979999999999</v>
      </c>
      <c r="M44">
        <f>IF(D44="","",D44*60)</f>
        <v>477</v>
      </c>
      <c r="N44">
        <f>IF(E44="","",E44*60)</f>
        <v>171.99959999999999</v>
      </c>
      <c r="O44">
        <f>IF(F44="","",F44*60)</f>
        <v>132.99960000000002</v>
      </c>
      <c r="P44">
        <f>IF(G44="","",G44*60)</f>
        <v>48</v>
      </c>
      <c r="Q44">
        <f>IF(H44="","",H44*60)</f>
        <v>309.99959999999999</v>
      </c>
      <c r="R44">
        <f>IF(I44="","",I44*60)</f>
        <v>192</v>
      </c>
      <c r="S44">
        <f>IF(J44="","",J44*60)</f>
        <v>519.99959999999999</v>
      </c>
      <c r="T44" s="3">
        <f>ROUND(IF(L44="",AVERAGE(L:L),L44)+IF(M44="",AVERAGE(M:M),M44)+IF(N44="",AVERAGE(N:N),N44)+IF(O44="",AVERAGE(O:O),O44)+IF(P44="",AVERAGE(P:P),P44)+IF(Q44="",AVERAGE(Q:Q),Q44)+IF(R44="",AVERAGE(R:R),R44)+IF(S44="",AVERAGE(S:S),S44), 4-(1+INT(LOG10(ABS(IF(L44="",AVERAGE(L:L),L44)+IF(M44="",AVERAGE(M:M),M44)+IF(N44="",AVERAGE(N:N),N44)+IF(O44="",AVERAGE(O:O),O44)+IF(P44="",AVERAGE(P:P),P44)+IF(Q44="",AVERAGE(Q:Q),Q44)+IF(R44="",AVERAGE(R:R),R44)+IF(S44="",AVERAGE(S:S),S44))))))</f>
        <v>2016</v>
      </c>
    </row>
    <row r="45" spans="1:20" x14ac:dyDescent="0.3">
      <c r="A45" s="1">
        <v>45885.471446759257</v>
      </c>
      <c r="B45">
        <v>1755357533</v>
      </c>
      <c r="C45">
        <v>2.15</v>
      </c>
      <c r="D45">
        <v>8.4166600000000003</v>
      </c>
      <c r="E45">
        <v>2.73333</v>
      </c>
      <c r="F45">
        <v>1.86666</v>
      </c>
      <c r="G45">
        <v>0.68332999999999999</v>
      </c>
      <c r="H45">
        <v>4.9833299999999996</v>
      </c>
      <c r="I45">
        <v>3.1833300000000002</v>
      </c>
      <c r="J45">
        <v>9.35</v>
      </c>
      <c r="L45">
        <f>IF(C45="","",C45*60)</f>
        <v>129</v>
      </c>
      <c r="M45">
        <f>IF(D45="","",D45*60)</f>
        <v>504.99959999999999</v>
      </c>
      <c r="N45">
        <f>IF(E45="","",E45*60)</f>
        <v>163.99979999999999</v>
      </c>
      <c r="O45">
        <f>IF(F45="","",F45*60)</f>
        <v>111.9996</v>
      </c>
      <c r="P45">
        <f>IF(G45="","",G45*60)</f>
        <v>40.9998</v>
      </c>
      <c r="Q45">
        <f>IF(H45="","",H45*60)</f>
        <v>298.99979999999999</v>
      </c>
      <c r="R45">
        <f>IF(I45="","",I45*60)</f>
        <v>190.99980000000002</v>
      </c>
      <c r="S45">
        <f>IF(J45="","",J45*60)</f>
        <v>561</v>
      </c>
      <c r="T45" s="3">
        <f>ROUND(IF(L45="",AVERAGE(L:L),L45)+IF(M45="",AVERAGE(M:M),M45)+IF(N45="",AVERAGE(N:N),N45)+IF(O45="",AVERAGE(O:O),O45)+IF(P45="",AVERAGE(P:P),P45)+IF(Q45="",AVERAGE(Q:Q),Q45)+IF(R45="",AVERAGE(R:R),R45)+IF(S45="",AVERAGE(S:S),S45), 4-(1+INT(LOG10(ABS(IF(L45="",AVERAGE(L:L),L45)+IF(M45="",AVERAGE(M:M),M45)+IF(N45="",AVERAGE(N:N),N45)+IF(O45="",AVERAGE(O:O),O45)+IF(P45="",AVERAGE(P:P),P45)+IF(Q45="",AVERAGE(Q:Q),Q45)+IF(R45="",AVERAGE(R:R),R45)+IF(S45="",AVERAGE(S:S),S45))))))</f>
        <v>2002</v>
      </c>
    </row>
    <row r="46" spans="1:20" x14ac:dyDescent="0.3">
      <c r="A46" s="1">
        <v>45885.495196759257</v>
      </c>
      <c r="B46">
        <v>1755359585</v>
      </c>
      <c r="C46">
        <v>2.2000000000000002</v>
      </c>
      <c r="E46">
        <v>2.7666599999999999</v>
      </c>
      <c r="F46">
        <v>1.86666</v>
      </c>
      <c r="G46">
        <v>0.68332999999999999</v>
      </c>
      <c r="H46">
        <v>5.1333299999999999</v>
      </c>
      <c r="I46">
        <v>3.23333</v>
      </c>
      <c r="J46">
        <v>9.2333300000000005</v>
      </c>
      <c r="L46">
        <f>IF(C46="","",C46*60)</f>
        <v>132</v>
      </c>
      <c r="M46" t="str">
        <f>IF(D46="","",D46*60)</f>
        <v/>
      </c>
      <c r="N46">
        <f>IF(E46="","",E46*60)</f>
        <v>165.99959999999999</v>
      </c>
      <c r="O46">
        <f>IF(F46="","",F46*60)</f>
        <v>111.9996</v>
      </c>
      <c r="P46">
        <f>IF(G46="","",G46*60)</f>
        <v>40.9998</v>
      </c>
      <c r="Q46">
        <f>IF(H46="","",H46*60)</f>
        <v>307.99979999999999</v>
      </c>
      <c r="R46">
        <f>IF(I46="","",I46*60)</f>
        <v>193.99979999999999</v>
      </c>
      <c r="S46">
        <f>IF(J46="","",J46*60)</f>
        <v>553.99980000000005</v>
      </c>
      <c r="T46" s="3">
        <f>ROUND(IF(L46="",AVERAGE(L:L),L46)+IF(M46="",AVERAGE(M:M),M46)+IF(N46="",AVERAGE(N:N),N46)+IF(O46="",AVERAGE(O:O),O46)+IF(P46="",AVERAGE(P:P),P46)+IF(Q46="",AVERAGE(Q:Q),Q46)+IF(R46="",AVERAGE(R:R),R46)+IF(S46="",AVERAGE(S:S),S46), 4-(1+INT(LOG10(ABS(IF(L46="",AVERAGE(L:L),L46)+IF(M46="",AVERAGE(M:M),M46)+IF(N46="",AVERAGE(N:N),N46)+IF(O46="",AVERAGE(O:O),O46)+IF(P46="",AVERAGE(P:P),P46)+IF(Q46="",AVERAGE(Q:Q),Q46)+IF(R46="",AVERAGE(R:R),R46)+IF(S46="",AVERAGE(S:S),S46))))))</f>
        <v>1997</v>
      </c>
    </row>
    <row r="47" spans="1:20" x14ac:dyDescent="0.3">
      <c r="A47" s="1">
        <v>45885.519178240742</v>
      </c>
      <c r="B47">
        <v>1755361657</v>
      </c>
      <c r="C47">
        <v>2.1</v>
      </c>
      <c r="E47">
        <v>2.7166600000000001</v>
      </c>
      <c r="F47">
        <v>1.86666</v>
      </c>
      <c r="G47">
        <v>0.68332999999999999</v>
      </c>
      <c r="H47">
        <v>5.15</v>
      </c>
      <c r="I47">
        <v>3.3166600000000002</v>
      </c>
      <c r="J47">
        <v>9.3833300000000008</v>
      </c>
      <c r="L47">
        <f>IF(C47="","",C47*60)</f>
        <v>126</v>
      </c>
      <c r="M47" t="str">
        <f>IF(D47="","",D47*60)</f>
        <v/>
      </c>
      <c r="N47">
        <f>IF(E47="","",E47*60)</f>
        <v>162.99960000000002</v>
      </c>
      <c r="O47">
        <f>IF(F47="","",F47*60)</f>
        <v>111.9996</v>
      </c>
      <c r="P47">
        <f>IF(G47="","",G47*60)</f>
        <v>40.9998</v>
      </c>
      <c r="Q47">
        <f>IF(H47="","",H47*60)</f>
        <v>309</v>
      </c>
      <c r="R47">
        <f>IF(I47="","",I47*60)</f>
        <v>198.99960000000002</v>
      </c>
      <c r="S47">
        <f>IF(J47="","",J47*60)</f>
        <v>562.99980000000005</v>
      </c>
      <c r="T47" s="3">
        <f>ROUND(IF(L47="",AVERAGE(L:L),L47)+IF(M47="",AVERAGE(M:M),M47)+IF(N47="",AVERAGE(N:N),N47)+IF(O47="",AVERAGE(O:O),O47)+IF(P47="",AVERAGE(P:P),P47)+IF(Q47="",AVERAGE(Q:Q),Q47)+IF(R47="",AVERAGE(R:R),R47)+IF(S47="",AVERAGE(S:S),S47), 4-(1+INT(LOG10(ABS(IF(L47="",AVERAGE(L:L),L47)+IF(M47="",AVERAGE(M:M),M47)+IF(N47="",AVERAGE(N:N),N47)+IF(O47="",AVERAGE(O:O),O47)+IF(P47="",AVERAGE(P:P),P47)+IF(Q47="",AVERAGE(Q:Q),Q47)+IF(R47="",AVERAGE(R:R),R47)+IF(S47="",AVERAGE(S:S),S47))))))</f>
        <v>2003</v>
      </c>
    </row>
    <row r="48" spans="1:20" x14ac:dyDescent="0.3">
      <c r="A48" s="1">
        <v>45885.543599537035</v>
      </c>
      <c r="B48">
        <v>1755363767</v>
      </c>
      <c r="C48">
        <v>2.15</v>
      </c>
      <c r="E48">
        <v>2.7666599999999999</v>
      </c>
      <c r="F48">
        <v>2.2666599999999999</v>
      </c>
      <c r="G48">
        <v>0.68332999999999999</v>
      </c>
      <c r="H48">
        <v>5.3666600000000004</v>
      </c>
      <c r="I48">
        <v>3.2166600000000001</v>
      </c>
      <c r="J48">
        <v>9.4333299999999998</v>
      </c>
      <c r="L48">
        <f>IF(C48="","",C48*60)</f>
        <v>129</v>
      </c>
      <c r="M48" t="str">
        <f>IF(D48="","",D48*60)</f>
        <v/>
      </c>
      <c r="N48">
        <f>IF(E48="","",E48*60)</f>
        <v>165.99959999999999</v>
      </c>
      <c r="O48">
        <f>IF(F48="","",F48*60)</f>
        <v>135.99959999999999</v>
      </c>
      <c r="P48">
        <f>IF(G48="","",G48*60)</f>
        <v>40.9998</v>
      </c>
      <c r="Q48">
        <f>IF(H48="","",H48*60)</f>
        <v>321.99960000000004</v>
      </c>
      <c r="R48">
        <f>IF(I48="","",I48*60)</f>
        <v>192.99960000000002</v>
      </c>
      <c r="S48">
        <f>IF(J48="","",J48*60)</f>
        <v>565.99979999999994</v>
      </c>
      <c r="T48" s="3">
        <f>ROUND(IF(L48="",AVERAGE(L:L),L48)+IF(M48="",AVERAGE(M:M),M48)+IF(N48="",AVERAGE(N:N),N48)+IF(O48="",AVERAGE(O:O),O48)+IF(P48="",AVERAGE(P:P),P48)+IF(Q48="",AVERAGE(Q:Q),Q48)+IF(R48="",AVERAGE(R:R),R48)+IF(S48="",AVERAGE(S:S),S48), 4-(1+INT(LOG10(ABS(IF(L48="",AVERAGE(L:L),L48)+IF(M48="",AVERAGE(M:M),M48)+IF(N48="",AVERAGE(N:N),N48)+IF(O48="",AVERAGE(O:O),O48)+IF(P48="",AVERAGE(P:P),P48)+IF(Q48="",AVERAGE(Q:Q),Q48)+IF(R48="",AVERAGE(R:R),R48)+IF(S48="",AVERAGE(S:S),S48))))))</f>
        <v>2043</v>
      </c>
    </row>
    <row r="49" spans="1:20" x14ac:dyDescent="0.3">
      <c r="A49" s="1">
        <v>45885.567962962959</v>
      </c>
      <c r="B49">
        <v>1755365872</v>
      </c>
      <c r="C49">
        <v>2.1333299999999999</v>
      </c>
      <c r="E49">
        <v>2.7166600000000001</v>
      </c>
      <c r="F49">
        <v>1.85</v>
      </c>
      <c r="G49">
        <v>0.68332999999999999</v>
      </c>
      <c r="H49">
        <v>5.1333299999999999</v>
      </c>
      <c r="I49">
        <v>3.1833300000000002</v>
      </c>
      <c r="J49">
        <v>9.8333300000000001</v>
      </c>
      <c r="L49">
        <f>IF(C49="","",C49*60)</f>
        <v>127.99979999999999</v>
      </c>
      <c r="M49" t="str">
        <f>IF(D49="","",D49*60)</f>
        <v/>
      </c>
      <c r="N49">
        <f>IF(E49="","",E49*60)</f>
        <v>162.99960000000002</v>
      </c>
      <c r="O49">
        <f>IF(F49="","",F49*60)</f>
        <v>111</v>
      </c>
      <c r="P49">
        <f>IF(G49="","",G49*60)</f>
        <v>40.9998</v>
      </c>
      <c r="Q49">
        <f>IF(H49="","",H49*60)</f>
        <v>307.99979999999999</v>
      </c>
      <c r="R49">
        <f>IF(I49="","",I49*60)</f>
        <v>190.99980000000002</v>
      </c>
      <c r="S49">
        <f>IF(J49="","",J49*60)</f>
        <v>589.99980000000005</v>
      </c>
      <c r="T49" s="3">
        <f>ROUND(IF(L49="",AVERAGE(L:L),L49)+IF(M49="",AVERAGE(M:M),M49)+IF(N49="",AVERAGE(N:N),N49)+IF(O49="",AVERAGE(O:O),O49)+IF(P49="",AVERAGE(P:P),P49)+IF(Q49="",AVERAGE(Q:Q),Q49)+IF(R49="",AVERAGE(R:R),R49)+IF(S49="",AVERAGE(S:S),S49), 4-(1+INT(LOG10(ABS(IF(L49="",AVERAGE(L:L),L49)+IF(M49="",AVERAGE(M:M),M49)+IF(N49="",AVERAGE(N:N),N49)+IF(O49="",AVERAGE(O:O),O49)+IF(P49="",AVERAGE(P:P),P49)+IF(Q49="",AVERAGE(Q:Q),Q49)+IF(R49="",AVERAGE(R:R),R49)+IF(S49="",AVERAGE(S:S),S49))))))</f>
        <v>2022</v>
      </c>
    </row>
    <row r="50" spans="1:20" x14ac:dyDescent="0.3">
      <c r="A50" s="1">
        <v>45885.591574074075</v>
      </c>
      <c r="B50">
        <v>1755367912</v>
      </c>
      <c r="C50">
        <v>2.1333299999999999</v>
      </c>
      <c r="E50">
        <v>2.7166600000000001</v>
      </c>
      <c r="F50">
        <v>2.2166600000000001</v>
      </c>
      <c r="G50">
        <v>0.71665999999999996</v>
      </c>
      <c r="H50">
        <v>5.0333300000000003</v>
      </c>
      <c r="I50">
        <v>3.3333300000000001</v>
      </c>
      <c r="J50">
        <v>9.0333299999999994</v>
      </c>
      <c r="L50">
        <f>IF(C50="","",C50*60)</f>
        <v>127.99979999999999</v>
      </c>
      <c r="M50" t="str">
        <f>IF(D50="","",D50*60)</f>
        <v/>
      </c>
      <c r="N50">
        <f>IF(E50="","",E50*60)</f>
        <v>162.99960000000002</v>
      </c>
      <c r="O50">
        <f>IF(F50="","",F50*60)</f>
        <v>132.99960000000002</v>
      </c>
      <c r="P50">
        <f>IF(G50="","",G50*60)</f>
        <v>42.999600000000001</v>
      </c>
      <c r="Q50">
        <f>IF(H50="","",H50*60)</f>
        <v>301.99979999999999</v>
      </c>
      <c r="R50">
        <f>IF(I50="","",I50*60)</f>
        <v>199.99979999999999</v>
      </c>
      <c r="S50">
        <f>IF(J50="","",J50*60)</f>
        <v>541.99979999999994</v>
      </c>
      <c r="T50" s="3">
        <f>ROUND(IF(L50="",AVERAGE(L:L),L50)+IF(M50="",AVERAGE(M:M),M50)+IF(N50="",AVERAGE(N:N),N50)+IF(O50="",AVERAGE(O:O),O50)+IF(P50="",AVERAGE(P:P),P50)+IF(Q50="",AVERAGE(Q:Q),Q50)+IF(R50="",AVERAGE(R:R),R50)+IF(S50="",AVERAGE(S:S),S50), 4-(1+INT(LOG10(ABS(IF(L50="",AVERAGE(L:L),L50)+IF(M50="",AVERAGE(M:M),M50)+IF(N50="",AVERAGE(N:N),N50)+IF(O50="",AVERAGE(O:O),O50)+IF(P50="",AVERAGE(P:P),P50)+IF(Q50="",AVERAGE(Q:Q),Q50)+IF(R50="",AVERAGE(R:R),R50)+IF(S50="",AVERAGE(S:S),S50))))))</f>
        <v>2001</v>
      </c>
    </row>
    <row r="51" spans="1:20" x14ac:dyDescent="0.3">
      <c r="A51" s="1">
        <v>45885.615578703706</v>
      </c>
      <c r="B51">
        <v>1755369986</v>
      </c>
      <c r="C51">
        <v>2.11666</v>
      </c>
      <c r="E51">
        <v>2.8166600000000002</v>
      </c>
      <c r="F51">
        <v>1.86666</v>
      </c>
      <c r="G51">
        <v>0.76666000000000001</v>
      </c>
      <c r="H51">
        <v>5.1166600000000004</v>
      </c>
      <c r="I51">
        <v>3.35</v>
      </c>
      <c r="J51">
        <v>9.5666600000000006</v>
      </c>
      <c r="L51">
        <f>IF(C51="","",C51*60)</f>
        <v>126.9996</v>
      </c>
      <c r="M51" t="str">
        <f>IF(D51="","",D51*60)</f>
        <v/>
      </c>
      <c r="N51">
        <f>IF(E51="","",E51*60)</f>
        <v>168.99960000000002</v>
      </c>
      <c r="O51">
        <f>IF(F51="","",F51*60)</f>
        <v>111.9996</v>
      </c>
      <c r="P51">
        <f>IF(G51="","",G51*60)</f>
        <v>45.999600000000001</v>
      </c>
      <c r="Q51">
        <f>IF(H51="","",H51*60)</f>
        <v>306.99960000000004</v>
      </c>
      <c r="R51">
        <f>IF(I51="","",I51*60)</f>
        <v>201</v>
      </c>
      <c r="S51">
        <f>IF(J51="","",J51*60)</f>
        <v>573.99959999999999</v>
      </c>
      <c r="T51" s="3">
        <f>ROUND(IF(L51="",AVERAGE(L:L),L51)+IF(M51="",AVERAGE(M:M),M51)+IF(N51="",AVERAGE(N:N),N51)+IF(O51="",AVERAGE(O:O),O51)+IF(P51="",AVERAGE(P:P),P51)+IF(Q51="",AVERAGE(Q:Q),Q51)+IF(R51="",AVERAGE(R:R),R51)+IF(S51="",AVERAGE(S:S),S51), 4-(1+INT(LOG10(ABS(IF(L51="",AVERAGE(L:L),L51)+IF(M51="",AVERAGE(M:M),M51)+IF(N51="",AVERAGE(N:N),N51)+IF(O51="",AVERAGE(O:O),O51)+IF(P51="",AVERAGE(P:P),P51)+IF(Q51="",AVERAGE(Q:Q),Q51)+IF(R51="",AVERAGE(R:R),R51)+IF(S51="",AVERAGE(S:S),S51))))))</f>
        <v>2026</v>
      </c>
    </row>
    <row r="52" spans="1:20" x14ac:dyDescent="0.3">
      <c r="A52" s="1">
        <v>45885.640543981484</v>
      </c>
      <c r="B52">
        <v>1755372143</v>
      </c>
      <c r="C52">
        <v>2.1</v>
      </c>
      <c r="E52">
        <v>3.1</v>
      </c>
      <c r="F52">
        <v>1.8833299999999999</v>
      </c>
      <c r="G52">
        <v>0.68332999999999999</v>
      </c>
      <c r="H52">
        <v>5.75</v>
      </c>
      <c r="I52">
        <v>3.25</v>
      </c>
      <c r="J52">
        <v>10.18333</v>
      </c>
      <c r="L52">
        <f>IF(C52="","",C52*60)</f>
        <v>126</v>
      </c>
      <c r="M52" t="str">
        <f>IF(D52="","",D52*60)</f>
        <v/>
      </c>
      <c r="N52">
        <f>IF(E52="","",E52*60)</f>
        <v>186</v>
      </c>
      <c r="O52">
        <f>IF(F52="","",F52*60)</f>
        <v>112.99979999999999</v>
      </c>
      <c r="P52">
        <f>IF(G52="","",G52*60)</f>
        <v>40.9998</v>
      </c>
      <c r="Q52">
        <f>IF(H52="","",H52*60)</f>
        <v>345</v>
      </c>
      <c r="R52">
        <f>IF(I52="","",I52*60)</f>
        <v>195</v>
      </c>
      <c r="S52">
        <f>IF(J52="","",J52*60)</f>
        <v>610.99979999999994</v>
      </c>
      <c r="T52" s="3">
        <f>ROUND(IF(L52="",AVERAGE(L:L),L52)+IF(M52="",AVERAGE(M:M),M52)+IF(N52="",AVERAGE(N:N),N52)+IF(O52="",AVERAGE(O:O),O52)+IF(P52="",AVERAGE(P:P),P52)+IF(Q52="",AVERAGE(Q:Q),Q52)+IF(R52="",AVERAGE(R:R),R52)+IF(S52="",AVERAGE(S:S),S52), 4-(1+INT(LOG10(ABS(IF(L52="",AVERAGE(L:L),L52)+IF(M52="",AVERAGE(M:M),M52)+IF(N52="",AVERAGE(N:N),N52)+IF(O52="",AVERAGE(O:O),O52)+IF(P52="",AVERAGE(P:P),P52)+IF(Q52="",AVERAGE(Q:Q),Q52)+IF(R52="",AVERAGE(R:R),R52)+IF(S52="",AVERAGE(S:S),S52))))))</f>
        <v>2107</v>
      </c>
    </row>
    <row r="53" spans="1:20" x14ac:dyDescent="0.3">
      <c r="A53" s="1">
        <v>45885.66443287037</v>
      </c>
      <c r="B53">
        <v>1755374207</v>
      </c>
      <c r="C53">
        <v>2.1333299999999999</v>
      </c>
      <c r="E53">
        <v>2.8</v>
      </c>
      <c r="F53">
        <v>1.93333</v>
      </c>
      <c r="G53">
        <v>0.68332999999999999</v>
      </c>
      <c r="H53">
        <v>5.25</v>
      </c>
      <c r="I53">
        <v>3.4</v>
      </c>
      <c r="J53">
        <v>9.1833299999999998</v>
      </c>
      <c r="L53">
        <f>IF(C53="","",C53*60)</f>
        <v>127.99979999999999</v>
      </c>
      <c r="M53" t="str">
        <f>IF(D53="","",D53*60)</f>
        <v/>
      </c>
      <c r="N53">
        <f>IF(E53="","",E53*60)</f>
        <v>168</v>
      </c>
      <c r="O53">
        <f>IF(F53="","",F53*60)</f>
        <v>115.99979999999999</v>
      </c>
      <c r="P53">
        <f>IF(G53="","",G53*60)</f>
        <v>40.9998</v>
      </c>
      <c r="Q53">
        <f>IF(H53="","",H53*60)</f>
        <v>315</v>
      </c>
      <c r="R53">
        <f>IF(I53="","",I53*60)</f>
        <v>204</v>
      </c>
      <c r="S53">
        <f>IF(J53="","",J53*60)</f>
        <v>550.99979999999994</v>
      </c>
      <c r="T53" s="3">
        <f>ROUND(IF(L53="",AVERAGE(L:L),L53)+IF(M53="",AVERAGE(M:M),M53)+IF(N53="",AVERAGE(N:N),N53)+IF(O53="",AVERAGE(O:O),O53)+IF(P53="",AVERAGE(P:P),P53)+IF(Q53="",AVERAGE(Q:Q),Q53)+IF(R53="",AVERAGE(R:R),R53)+IF(S53="",AVERAGE(S:S),S53), 4-(1+INT(LOG10(ABS(IF(L53="",AVERAGE(L:L),L53)+IF(M53="",AVERAGE(M:M),M53)+IF(N53="",AVERAGE(N:N),N53)+IF(O53="",AVERAGE(O:O),O53)+IF(P53="",AVERAGE(P:P),P53)+IF(Q53="",AVERAGE(Q:Q),Q53)+IF(R53="",AVERAGE(R:R),R53)+IF(S53="",AVERAGE(S:S),S53))))))</f>
        <v>2013</v>
      </c>
    </row>
    <row r="54" spans="1:20" x14ac:dyDescent="0.3">
      <c r="A54" s="1">
        <v>45885.692314814813</v>
      </c>
      <c r="B54">
        <v>1755376616</v>
      </c>
      <c r="C54">
        <v>2.6</v>
      </c>
      <c r="E54">
        <v>3.5333299999999999</v>
      </c>
      <c r="F54">
        <v>2.2000000000000002</v>
      </c>
      <c r="G54">
        <v>0.71665999999999996</v>
      </c>
      <c r="H54">
        <v>5.6833299999999998</v>
      </c>
      <c r="I54">
        <v>3.9666600000000001</v>
      </c>
      <c r="J54">
        <v>9.7333300000000005</v>
      </c>
      <c r="L54">
        <f>IF(C54="","",C54*60)</f>
        <v>156</v>
      </c>
      <c r="M54" t="str">
        <f>IF(D54="","",D54*60)</f>
        <v/>
      </c>
      <c r="N54">
        <f>IF(E54="","",E54*60)</f>
        <v>211.99979999999999</v>
      </c>
      <c r="O54">
        <f>IF(F54="","",F54*60)</f>
        <v>132</v>
      </c>
      <c r="P54">
        <f>IF(G54="","",G54*60)</f>
        <v>42.999600000000001</v>
      </c>
      <c r="Q54">
        <f>IF(H54="","",H54*60)</f>
        <v>340.99979999999999</v>
      </c>
      <c r="R54">
        <f>IF(I54="","",I54*60)</f>
        <v>237.99960000000002</v>
      </c>
      <c r="S54">
        <f>IF(J54="","",J54*60)</f>
        <v>583.99980000000005</v>
      </c>
      <c r="T54" s="3">
        <f>ROUND(IF(L54="",AVERAGE(L:L),L54)+IF(M54="",AVERAGE(M:M),M54)+IF(N54="",AVERAGE(N:N),N54)+IF(O54="",AVERAGE(O:O),O54)+IF(P54="",AVERAGE(P:P),P54)+IF(Q54="",AVERAGE(Q:Q),Q54)+IF(R54="",AVERAGE(R:R),R54)+IF(S54="",AVERAGE(S:S),S54), 4-(1+INT(LOG10(ABS(IF(L54="",AVERAGE(L:L),L54)+IF(M54="",AVERAGE(M:M),M54)+IF(N54="",AVERAGE(N:N),N54)+IF(O54="",AVERAGE(O:O),O54)+IF(P54="",AVERAGE(P:P),P54)+IF(Q54="",AVERAGE(Q:Q),Q54)+IF(R54="",AVERAGE(R:R),R54)+IF(S54="",AVERAGE(S:S),S54))))))</f>
        <v>2196</v>
      </c>
    </row>
    <row r="55" spans="1:20" x14ac:dyDescent="0.3">
      <c r="A55" s="1">
        <v>45885.721030092594</v>
      </c>
      <c r="B55">
        <v>1755379097</v>
      </c>
      <c r="C55">
        <v>2.5</v>
      </c>
      <c r="E55">
        <v>3.2166600000000001</v>
      </c>
      <c r="F55">
        <v>2.5333299999999999</v>
      </c>
      <c r="G55">
        <v>0.86665999999999999</v>
      </c>
      <c r="H55">
        <v>6.6166600000000004</v>
      </c>
      <c r="I55">
        <v>3.75</v>
      </c>
      <c r="J55">
        <v>9.2666599999999999</v>
      </c>
      <c r="L55">
        <f>IF(C55="","",C55*60)</f>
        <v>150</v>
      </c>
      <c r="M55" t="str">
        <f>IF(D55="","",D55*60)</f>
        <v/>
      </c>
      <c r="N55">
        <f>IF(E55="","",E55*60)</f>
        <v>192.99960000000002</v>
      </c>
      <c r="O55">
        <f>IF(F55="","",F55*60)</f>
        <v>151.99979999999999</v>
      </c>
      <c r="P55">
        <f>IF(G55="","",G55*60)</f>
        <v>51.999600000000001</v>
      </c>
      <c r="Q55">
        <f>IF(H55="","",H55*60)</f>
        <v>396.99960000000004</v>
      </c>
      <c r="R55">
        <f>IF(I55="","",I55*60)</f>
        <v>225</v>
      </c>
      <c r="S55">
        <f>IF(J55="","",J55*60)</f>
        <v>555.99959999999999</v>
      </c>
      <c r="T55" s="3">
        <f>ROUND(IF(L55="",AVERAGE(L:L),L55)+IF(M55="",AVERAGE(M:M),M55)+IF(N55="",AVERAGE(N:N),N55)+IF(O55="",AVERAGE(O:O),O55)+IF(P55="",AVERAGE(P:P),P55)+IF(Q55="",AVERAGE(Q:Q),Q55)+IF(R55="",AVERAGE(R:R),R55)+IF(S55="",AVERAGE(S:S),S55), 4-(1+INT(LOG10(ABS(IF(L55="",AVERAGE(L:L),L55)+IF(M55="",AVERAGE(M:M),M55)+IF(N55="",AVERAGE(N:N),N55)+IF(O55="",AVERAGE(O:O),O55)+IF(P55="",AVERAGE(P:P),P55)+IF(Q55="",AVERAGE(Q:Q),Q55)+IF(R55="",AVERAGE(R:R),R55)+IF(S55="",AVERAGE(S:S),S55))))))</f>
        <v>2215</v>
      </c>
    </row>
    <row r="56" spans="1:20" x14ac:dyDescent="0.3">
      <c r="A56" s="1">
        <v>45885.74596064815</v>
      </c>
      <c r="B56">
        <v>1755381251</v>
      </c>
      <c r="C56">
        <v>2.15</v>
      </c>
      <c r="E56">
        <v>2.75</v>
      </c>
      <c r="F56">
        <v>2.2166600000000001</v>
      </c>
      <c r="G56">
        <v>0.7</v>
      </c>
      <c r="H56">
        <v>5.3333300000000001</v>
      </c>
      <c r="I56">
        <v>3.1833300000000002</v>
      </c>
      <c r="J56">
        <v>10.1</v>
      </c>
      <c r="L56">
        <f>IF(C56="","",C56*60)</f>
        <v>129</v>
      </c>
      <c r="M56" t="str">
        <f>IF(D56="","",D56*60)</f>
        <v/>
      </c>
      <c r="N56">
        <f>IF(E56="","",E56*60)</f>
        <v>165</v>
      </c>
      <c r="O56">
        <f>IF(F56="","",F56*60)</f>
        <v>132.99960000000002</v>
      </c>
      <c r="P56">
        <f>IF(G56="","",G56*60)</f>
        <v>42</v>
      </c>
      <c r="Q56">
        <f>IF(H56="","",H56*60)</f>
        <v>319.99979999999999</v>
      </c>
      <c r="R56">
        <f>IF(I56="","",I56*60)</f>
        <v>190.99980000000002</v>
      </c>
      <c r="S56">
        <f>IF(J56="","",J56*60)</f>
        <v>606</v>
      </c>
      <c r="T56" s="3">
        <f>ROUND(IF(L56="",AVERAGE(L:L),L56)+IF(M56="",AVERAGE(M:M),M56)+IF(N56="",AVERAGE(N:N),N56)+IF(O56="",AVERAGE(O:O),O56)+IF(P56="",AVERAGE(P:P),P56)+IF(Q56="",AVERAGE(Q:Q),Q56)+IF(R56="",AVERAGE(R:R),R56)+IF(S56="",AVERAGE(S:S),S56), 4-(1+INT(LOG10(ABS(IF(L56="",AVERAGE(L:L),L56)+IF(M56="",AVERAGE(M:M),M56)+IF(N56="",AVERAGE(N:N),N56)+IF(O56="",AVERAGE(O:O),O56)+IF(P56="",AVERAGE(P:P),P56)+IF(Q56="",AVERAGE(Q:Q),Q56)+IF(R56="",AVERAGE(R:R),R56)+IF(S56="",AVERAGE(S:S),S56))))))</f>
        <v>2076</v>
      </c>
    </row>
    <row r="57" spans="1:20" x14ac:dyDescent="0.3">
      <c r="A57" s="1">
        <v>45885.772129629629</v>
      </c>
      <c r="B57">
        <v>1755383512</v>
      </c>
      <c r="C57">
        <v>2.1333299999999999</v>
      </c>
      <c r="E57">
        <v>2.8</v>
      </c>
      <c r="F57">
        <v>1.8833299999999999</v>
      </c>
      <c r="G57">
        <v>0.88332999999999995</v>
      </c>
      <c r="H57">
        <v>6.2833300000000003</v>
      </c>
      <c r="I57">
        <v>3.3333300000000001</v>
      </c>
      <c r="J57">
        <v>9.8000000000000007</v>
      </c>
      <c r="L57">
        <f>IF(C57="","",C57*60)</f>
        <v>127.99979999999999</v>
      </c>
      <c r="M57" t="str">
        <f>IF(D57="","",D57*60)</f>
        <v/>
      </c>
      <c r="N57">
        <f>IF(E57="","",E57*60)</f>
        <v>168</v>
      </c>
      <c r="O57">
        <f>IF(F57="","",F57*60)</f>
        <v>112.99979999999999</v>
      </c>
      <c r="P57">
        <f>IF(G57="","",G57*60)</f>
        <v>52.999799999999993</v>
      </c>
      <c r="Q57">
        <f>IF(H57="","",H57*60)</f>
        <v>376.99979999999999</v>
      </c>
      <c r="R57">
        <f>IF(I57="","",I57*60)</f>
        <v>199.99979999999999</v>
      </c>
      <c r="S57">
        <f>IF(J57="","",J57*60)</f>
        <v>588</v>
      </c>
      <c r="T57" s="3">
        <f>ROUND(IF(L57="",AVERAGE(L:L),L57)+IF(M57="",AVERAGE(M:M),M57)+IF(N57="",AVERAGE(N:N),N57)+IF(O57="",AVERAGE(O:O),O57)+IF(P57="",AVERAGE(P:P),P57)+IF(Q57="",AVERAGE(Q:Q),Q57)+IF(R57="",AVERAGE(R:R),R57)+IF(S57="",AVERAGE(S:S),S57), 4-(1+INT(LOG10(ABS(IF(L57="",AVERAGE(L:L),L57)+IF(M57="",AVERAGE(M:M),M57)+IF(N57="",AVERAGE(N:N),N57)+IF(O57="",AVERAGE(O:O),O57)+IF(P57="",AVERAGE(P:P),P57)+IF(Q57="",AVERAGE(Q:Q),Q57)+IF(R57="",AVERAGE(R:R),R57)+IF(S57="",AVERAGE(S:S),S57))))))</f>
        <v>2117</v>
      </c>
    </row>
    <row r="58" spans="1:20" x14ac:dyDescent="0.3">
      <c r="A58" s="1">
        <v>45885.797071759262</v>
      </c>
      <c r="B58">
        <v>1755385667</v>
      </c>
      <c r="C58">
        <v>2.1</v>
      </c>
      <c r="E58">
        <v>2.7666599999999999</v>
      </c>
      <c r="F58">
        <v>1.86666</v>
      </c>
      <c r="G58">
        <v>0.73333000000000004</v>
      </c>
      <c r="H58">
        <v>5.05</v>
      </c>
      <c r="I58">
        <v>3.4666600000000001</v>
      </c>
      <c r="J58">
        <v>9.5833300000000001</v>
      </c>
      <c r="L58">
        <f>IF(C58="","",C58*60)</f>
        <v>126</v>
      </c>
      <c r="M58" t="str">
        <f>IF(D58="","",D58*60)</f>
        <v/>
      </c>
      <c r="N58">
        <f>IF(E58="","",E58*60)</f>
        <v>165.99959999999999</v>
      </c>
      <c r="O58">
        <f>IF(F58="","",F58*60)</f>
        <v>111.9996</v>
      </c>
      <c r="P58">
        <f>IF(G58="","",G58*60)</f>
        <v>43.9998</v>
      </c>
      <c r="Q58">
        <f>IF(H58="","",H58*60)</f>
        <v>303</v>
      </c>
      <c r="R58">
        <f>IF(I58="","",I58*60)</f>
        <v>207.99960000000002</v>
      </c>
      <c r="S58">
        <f>IF(J58="","",J58*60)</f>
        <v>574.99980000000005</v>
      </c>
      <c r="T58" s="3">
        <f>ROUND(IF(L58="",AVERAGE(L:L),L58)+IF(M58="",AVERAGE(M:M),M58)+IF(N58="",AVERAGE(N:N),N58)+IF(O58="",AVERAGE(O:O),O58)+IF(P58="",AVERAGE(P:P),P58)+IF(Q58="",AVERAGE(Q:Q),Q58)+IF(R58="",AVERAGE(R:R),R58)+IF(S58="",AVERAGE(S:S),S58), 4-(1+INT(LOG10(ABS(IF(L58="",AVERAGE(L:L),L58)+IF(M58="",AVERAGE(M:M),M58)+IF(N58="",AVERAGE(N:N),N58)+IF(O58="",AVERAGE(O:O),O58)+IF(P58="",AVERAGE(P:P),P58)+IF(Q58="",AVERAGE(Q:Q),Q58)+IF(R58="",AVERAGE(R:R),R58)+IF(S58="",AVERAGE(S:S),S58))))))</f>
        <v>2024</v>
      </c>
    </row>
    <row r="59" spans="1:20" x14ac:dyDescent="0.3">
      <c r="A59" s="1">
        <v>45885.821226851855</v>
      </c>
      <c r="B59">
        <v>1755387754</v>
      </c>
      <c r="C59">
        <v>2.2166600000000001</v>
      </c>
      <c r="E59">
        <v>2.85</v>
      </c>
      <c r="F59">
        <v>2.25</v>
      </c>
      <c r="G59">
        <v>0.7</v>
      </c>
      <c r="H59">
        <v>5.2</v>
      </c>
      <c r="I59">
        <v>3.25</v>
      </c>
      <c r="J59">
        <v>9.1833299999999998</v>
      </c>
      <c r="L59">
        <f>IF(C59="","",C59*60)</f>
        <v>132.99960000000002</v>
      </c>
      <c r="M59" t="str">
        <f>IF(D59="","",D59*60)</f>
        <v/>
      </c>
      <c r="N59">
        <f>IF(E59="","",E59*60)</f>
        <v>171</v>
      </c>
      <c r="O59">
        <f>IF(F59="","",F59*60)</f>
        <v>135</v>
      </c>
      <c r="P59">
        <f>IF(G59="","",G59*60)</f>
        <v>42</v>
      </c>
      <c r="Q59">
        <f>IF(H59="","",H59*60)</f>
        <v>312</v>
      </c>
      <c r="R59">
        <f>IF(I59="","",I59*60)</f>
        <v>195</v>
      </c>
      <c r="S59">
        <f>IF(J59="","",J59*60)</f>
        <v>550.99979999999994</v>
      </c>
      <c r="T59" s="3">
        <f>ROUND(IF(L59="",AVERAGE(L:L),L59)+IF(M59="",AVERAGE(M:M),M59)+IF(N59="",AVERAGE(N:N),N59)+IF(O59="",AVERAGE(O:O),O59)+IF(P59="",AVERAGE(P:P),P59)+IF(Q59="",AVERAGE(Q:Q),Q59)+IF(R59="",AVERAGE(R:R),R59)+IF(S59="",AVERAGE(S:S),S59), 4-(1+INT(LOG10(ABS(IF(L59="",AVERAGE(L:L),L59)+IF(M59="",AVERAGE(M:M),M59)+IF(N59="",AVERAGE(N:N),N59)+IF(O59="",AVERAGE(O:O),O59)+IF(P59="",AVERAGE(P:P),P59)+IF(Q59="",AVERAGE(Q:Q),Q59)+IF(R59="",AVERAGE(R:R),R59)+IF(S59="",AVERAGE(S:S),S59))))))</f>
        <v>2029</v>
      </c>
    </row>
    <row r="60" spans="1:20" x14ac:dyDescent="0.3">
      <c r="A60" s="1">
        <v>45885.846539351849</v>
      </c>
      <c r="B60">
        <v>1755389941</v>
      </c>
      <c r="C60">
        <v>2.11666</v>
      </c>
      <c r="E60">
        <v>2.7666599999999999</v>
      </c>
      <c r="F60">
        <v>1.8833299999999999</v>
      </c>
      <c r="G60">
        <v>0.7</v>
      </c>
      <c r="H60">
        <v>5.1833299999999998</v>
      </c>
      <c r="I60">
        <v>3.2666599999999999</v>
      </c>
      <c r="J60">
        <v>9.8333300000000001</v>
      </c>
      <c r="L60">
        <f>IF(C60="","",C60*60)</f>
        <v>126.9996</v>
      </c>
      <c r="M60" t="str">
        <f>IF(D60="","",D60*60)</f>
        <v/>
      </c>
      <c r="N60">
        <f>IF(E60="","",E60*60)</f>
        <v>165.99959999999999</v>
      </c>
      <c r="O60">
        <f>IF(F60="","",F60*60)</f>
        <v>112.99979999999999</v>
      </c>
      <c r="P60">
        <f>IF(G60="","",G60*60)</f>
        <v>42</v>
      </c>
      <c r="Q60">
        <f>IF(H60="","",H60*60)</f>
        <v>310.99979999999999</v>
      </c>
      <c r="R60">
        <f>IF(I60="","",I60*60)</f>
        <v>195.99959999999999</v>
      </c>
      <c r="S60">
        <f>IF(J60="","",J60*60)</f>
        <v>589.99980000000005</v>
      </c>
      <c r="T60" s="3">
        <f>ROUND(IF(L60="",AVERAGE(L:L),L60)+IF(M60="",AVERAGE(M:M),M60)+IF(N60="",AVERAGE(N:N),N60)+IF(O60="",AVERAGE(O:O),O60)+IF(P60="",AVERAGE(P:P),P60)+IF(Q60="",AVERAGE(Q:Q),Q60)+IF(R60="",AVERAGE(R:R),R60)+IF(S60="",AVERAGE(S:S),S60), 4-(1+INT(LOG10(ABS(IF(L60="",AVERAGE(L:L),L60)+IF(M60="",AVERAGE(M:M),M60)+IF(N60="",AVERAGE(N:N),N60)+IF(O60="",AVERAGE(O:O),O60)+IF(P60="",AVERAGE(P:P),P60)+IF(Q60="",AVERAGE(Q:Q),Q60)+IF(R60="",AVERAGE(R:R),R60)+IF(S60="",AVERAGE(S:S),S60))))))</f>
        <v>2035</v>
      </c>
    </row>
    <row r="61" spans="1:20" x14ac:dyDescent="0.3">
      <c r="A61" s="1">
        <v>45885.870474537034</v>
      </c>
      <c r="B61">
        <v>1755392009</v>
      </c>
      <c r="C61">
        <v>2.15</v>
      </c>
      <c r="E61">
        <v>2.7833299999999999</v>
      </c>
      <c r="F61">
        <v>1.8833299999999999</v>
      </c>
      <c r="G61">
        <v>0.71665999999999996</v>
      </c>
      <c r="H61">
        <v>5.15</v>
      </c>
      <c r="I61">
        <v>3.2666599999999999</v>
      </c>
      <c r="J61">
        <v>9.5500000000000007</v>
      </c>
      <c r="L61">
        <f>IF(C61="","",C61*60)</f>
        <v>129</v>
      </c>
      <c r="M61" t="str">
        <f>IF(D61="","",D61*60)</f>
        <v/>
      </c>
      <c r="N61">
        <f>IF(E61="","",E61*60)</f>
        <v>166.99979999999999</v>
      </c>
      <c r="O61">
        <f>IF(F61="","",F61*60)</f>
        <v>112.99979999999999</v>
      </c>
      <c r="P61">
        <f>IF(G61="","",G61*60)</f>
        <v>42.999600000000001</v>
      </c>
      <c r="Q61">
        <f>IF(H61="","",H61*60)</f>
        <v>309</v>
      </c>
      <c r="R61">
        <f>IF(I61="","",I61*60)</f>
        <v>195.99959999999999</v>
      </c>
      <c r="S61">
        <f>IF(J61="","",J61*60)</f>
        <v>573</v>
      </c>
      <c r="T61" s="3">
        <f>ROUND(IF(L61="",AVERAGE(L:L),L61)+IF(M61="",AVERAGE(M:M),M61)+IF(N61="",AVERAGE(N:N),N61)+IF(O61="",AVERAGE(O:O),O61)+IF(P61="",AVERAGE(P:P),P61)+IF(Q61="",AVERAGE(Q:Q),Q61)+IF(R61="",AVERAGE(R:R),R61)+IF(S61="",AVERAGE(S:S),S61), 4-(1+INT(LOG10(ABS(IF(L61="",AVERAGE(L:L),L61)+IF(M61="",AVERAGE(M:M),M61)+IF(N61="",AVERAGE(N:N),N61)+IF(O61="",AVERAGE(O:O),O61)+IF(P61="",AVERAGE(P:P),P61)+IF(Q61="",AVERAGE(Q:Q),Q61)+IF(R61="",AVERAGE(R:R),R61)+IF(S61="",AVERAGE(S:S),S61))))))</f>
        <v>2020</v>
      </c>
    </row>
    <row r="62" spans="1:20" x14ac:dyDescent="0.3">
      <c r="A62" s="1">
        <v>45885.895405092589</v>
      </c>
      <c r="B62">
        <v>1755394163</v>
      </c>
      <c r="C62">
        <v>2.23333</v>
      </c>
      <c r="E62">
        <v>2.75</v>
      </c>
      <c r="F62">
        <v>2.0333299999999999</v>
      </c>
      <c r="G62">
        <v>1.1000000000000001</v>
      </c>
      <c r="H62">
        <v>5.75</v>
      </c>
      <c r="I62">
        <v>3.61666</v>
      </c>
      <c r="J62">
        <v>9.1999999999999993</v>
      </c>
      <c r="L62">
        <f>IF(C62="","",C62*60)</f>
        <v>133.99979999999999</v>
      </c>
      <c r="M62" t="str">
        <f>IF(D62="","",D62*60)</f>
        <v/>
      </c>
      <c r="N62">
        <f>IF(E62="","",E62*60)</f>
        <v>165</v>
      </c>
      <c r="O62">
        <f>IF(F62="","",F62*60)</f>
        <v>121.99979999999999</v>
      </c>
      <c r="P62">
        <f>IF(G62="","",G62*60)</f>
        <v>66</v>
      </c>
      <c r="Q62">
        <f>IF(H62="","",H62*60)</f>
        <v>345</v>
      </c>
      <c r="R62">
        <f>IF(I62="","",I62*60)</f>
        <v>216.99959999999999</v>
      </c>
      <c r="S62">
        <f>IF(J62="","",J62*60)</f>
        <v>552</v>
      </c>
      <c r="T62" s="3">
        <f>ROUND(IF(L62="",AVERAGE(L:L),L62)+IF(M62="",AVERAGE(M:M),M62)+IF(N62="",AVERAGE(N:N),N62)+IF(O62="",AVERAGE(O:O),O62)+IF(P62="",AVERAGE(P:P),P62)+IF(Q62="",AVERAGE(Q:Q),Q62)+IF(R62="",AVERAGE(R:R),R62)+IF(S62="",AVERAGE(S:S),S62), 4-(1+INT(LOG10(ABS(IF(L62="",AVERAGE(L:L),L62)+IF(M62="",AVERAGE(M:M),M62)+IF(N62="",AVERAGE(N:N),N62)+IF(O62="",AVERAGE(O:O),O62)+IF(P62="",AVERAGE(P:P),P62)+IF(Q62="",AVERAGE(Q:Q),Q62)+IF(R62="",AVERAGE(R:R),R62)+IF(S62="",AVERAGE(S:S),S62))))))</f>
        <v>2091</v>
      </c>
    </row>
    <row r="63" spans="1:20" x14ac:dyDescent="0.3">
      <c r="A63" s="1">
        <v>45885.921203703707</v>
      </c>
      <c r="B63">
        <v>1755396392</v>
      </c>
      <c r="C63">
        <v>2.1666599999999998</v>
      </c>
      <c r="E63">
        <v>2.7833299999999999</v>
      </c>
      <c r="F63">
        <v>2.2999999999999998</v>
      </c>
      <c r="G63">
        <v>0.7</v>
      </c>
      <c r="H63">
        <v>6.3166599999999997</v>
      </c>
      <c r="I63">
        <v>3.4333300000000002</v>
      </c>
      <c r="J63">
        <v>10.01666</v>
      </c>
      <c r="L63">
        <f>IF(C63="","",C63*60)</f>
        <v>129.99959999999999</v>
      </c>
      <c r="M63" t="str">
        <f>IF(D63="","",D63*60)</f>
        <v/>
      </c>
      <c r="N63">
        <f>IF(E63="","",E63*60)</f>
        <v>166.99979999999999</v>
      </c>
      <c r="O63">
        <f>IF(F63="","",F63*60)</f>
        <v>138</v>
      </c>
      <c r="P63">
        <f>IF(G63="","",G63*60)</f>
        <v>42</v>
      </c>
      <c r="Q63">
        <f>IF(H63="","",H63*60)</f>
        <v>378.99959999999999</v>
      </c>
      <c r="R63">
        <f>IF(I63="","",I63*60)</f>
        <v>205.99980000000002</v>
      </c>
      <c r="S63">
        <f>IF(J63="","",J63*60)</f>
        <v>600.99959999999999</v>
      </c>
      <c r="T63" s="3">
        <f>ROUND(IF(L63="",AVERAGE(L:L),L63)+IF(M63="",AVERAGE(M:M),M63)+IF(N63="",AVERAGE(N:N),N63)+IF(O63="",AVERAGE(O:O),O63)+IF(P63="",AVERAGE(P:P),P63)+IF(Q63="",AVERAGE(Q:Q),Q63)+IF(R63="",AVERAGE(R:R),R63)+IF(S63="",AVERAGE(S:S),S63), 4-(1+INT(LOG10(ABS(IF(L63="",AVERAGE(L:L),L63)+IF(M63="",AVERAGE(M:M),M63)+IF(N63="",AVERAGE(N:N),N63)+IF(O63="",AVERAGE(O:O),O63)+IF(P63="",AVERAGE(P:P),P63)+IF(Q63="",AVERAGE(Q:Q),Q63)+IF(R63="",AVERAGE(R:R),R63)+IF(S63="",AVERAGE(S:S),S63))))))</f>
        <v>2153</v>
      </c>
    </row>
    <row r="64" spans="1:20" x14ac:dyDescent="0.3">
      <c r="A64" s="1">
        <v>45885.948067129626</v>
      </c>
      <c r="B64">
        <v>1755398713</v>
      </c>
      <c r="C64">
        <v>2.2999999999999998</v>
      </c>
      <c r="E64">
        <v>3.2</v>
      </c>
      <c r="F64">
        <v>2</v>
      </c>
      <c r="G64">
        <v>0.73333000000000004</v>
      </c>
      <c r="H64">
        <v>6.45</v>
      </c>
      <c r="I64">
        <v>3.9166599999999998</v>
      </c>
      <c r="J64">
        <v>9.2333300000000005</v>
      </c>
      <c r="L64">
        <f>IF(C64="","",C64*60)</f>
        <v>138</v>
      </c>
      <c r="M64" t="str">
        <f>IF(D64="","",D64*60)</f>
        <v/>
      </c>
      <c r="N64">
        <f>IF(E64="","",E64*60)</f>
        <v>192</v>
      </c>
      <c r="O64">
        <f>IF(F64="","",F64*60)</f>
        <v>120</v>
      </c>
      <c r="P64">
        <f>IF(G64="","",G64*60)</f>
        <v>43.9998</v>
      </c>
      <c r="Q64">
        <f>IF(H64="","",H64*60)</f>
        <v>387</v>
      </c>
      <c r="R64">
        <f>IF(I64="","",I64*60)</f>
        <v>234.99959999999999</v>
      </c>
      <c r="S64">
        <f>IF(J64="","",J64*60)</f>
        <v>553.99980000000005</v>
      </c>
      <c r="T64" s="3">
        <f>ROUND(IF(L64="",AVERAGE(L:L),L64)+IF(M64="",AVERAGE(M:M),M64)+IF(N64="",AVERAGE(N:N),N64)+IF(O64="",AVERAGE(O:O),O64)+IF(P64="",AVERAGE(P:P),P64)+IF(Q64="",AVERAGE(Q:Q),Q64)+IF(R64="",AVERAGE(R:R),R64)+IF(S64="",AVERAGE(S:S),S64), 4-(1+INT(LOG10(ABS(IF(L64="",AVERAGE(L:L),L64)+IF(M64="",AVERAGE(M:M),M64)+IF(N64="",AVERAGE(N:N),N64)+IF(O64="",AVERAGE(O:O),O64)+IF(P64="",AVERAGE(P:P),P64)+IF(Q64="",AVERAGE(Q:Q),Q64)+IF(R64="",AVERAGE(R:R),R64)+IF(S64="",AVERAGE(S:S),S64))))))</f>
        <v>2160</v>
      </c>
    </row>
    <row r="65" spans="1:20" x14ac:dyDescent="0.3">
      <c r="A65" s="1">
        <v>45885.973553240743</v>
      </c>
      <c r="B65">
        <v>1755400915</v>
      </c>
      <c r="C65">
        <v>2.5166599999999999</v>
      </c>
      <c r="E65">
        <v>2.86666</v>
      </c>
      <c r="F65">
        <v>2.3333300000000001</v>
      </c>
      <c r="G65">
        <v>0.75</v>
      </c>
      <c r="H65">
        <v>5.3</v>
      </c>
      <c r="I65">
        <v>3.2166600000000001</v>
      </c>
      <c r="J65">
        <v>9.35</v>
      </c>
      <c r="L65">
        <f>IF(C65="","",C65*60)</f>
        <v>150.99959999999999</v>
      </c>
      <c r="M65" t="str">
        <f>IF(D65="","",D65*60)</f>
        <v/>
      </c>
      <c r="N65">
        <f>IF(E65="","",E65*60)</f>
        <v>171.99959999999999</v>
      </c>
      <c r="O65">
        <f>IF(F65="","",F65*60)</f>
        <v>139.99979999999999</v>
      </c>
      <c r="P65">
        <f>IF(G65="","",G65*60)</f>
        <v>45</v>
      </c>
      <c r="Q65">
        <f>IF(H65="","",H65*60)</f>
        <v>318</v>
      </c>
      <c r="R65">
        <f>IF(I65="","",I65*60)</f>
        <v>192.99960000000002</v>
      </c>
      <c r="S65">
        <f>IF(J65="","",J65*60)</f>
        <v>561</v>
      </c>
      <c r="T65" s="3">
        <f>ROUND(IF(L65="",AVERAGE(L:L),L65)+IF(M65="",AVERAGE(M:M),M65)+IF(N65="",AVERAGE(N:N),N65)+IF(O65="",AVERAGE(O:O),O65)+IF(P65="",AVERAGE(P:P),P65)+IF(Q65="",AVERAGE(Q:Q),Q65)+IF(R65="",AVERAGE(R:R),R65)+IF(S65="",AVERAGE(S:S),S65), 4-(1+INT(LOG10(ABS(IF(L65="",AVERAGE(L:L),L65)+IF(M65="",AVERAGE(M:M),M65)+IF(N65="",AVERAGE(N:N),N65)+IF(O65="",AVERAGE(O:O),O65)+IF(P65="",AVERAGE(P:P),P65)+IF(Q65="",AVERAGE(Q:Q),Q65)+IF(R65="",AVERAGE(R:R),R65)+IF(S65="",AVERAGE(S:S),S65))))))</f>
        <v>2070</v>
      </c>
    </row>
    <row r="66" spans="1:20" x14ac:dyDescent="0.3">
      <c r="A66" s="1">
        <v>45885.996678240743</v>
      </c>
      <c r="B66">
        <v>1755402913</v>
      </c>
      <c r="C66">
        <v>2.11666</v>
      </c>
      <c r="E66">
        <v>2.7666599999999999</v>
      </c>
      <c r="F66">
        <v>1.85</v>
      </c>
      <c r="G66">
        <v>0.7</v>
      </c>
      <c r="H66">
        <v>5.0999999999999996</v>
      </c>
      <c r="I66">
        <v>3.2833299999999999</v>
      </c>
      <c r="J66">
        <v>8.9333299999999998</v>
      </c>
      <c r="L66">
        <f>IF(C66="","",C66*60)</f>
        <v>126.9996</v>
      </c>
      <c r="M66" t="str">
        <f>IF(D66="","",D66*60)</f>
        <v/>
      </c>
      <c r="N66">
        <f>IF(E66="","",E66*60)</f>
        <v>165.99959999999999</v>
      </c>
      <c r="O66">
        <f>IF(F66="","",F66*60)</f>
        <v>111</v>
      </c>
      <c r="P66">
        <f>IF(G66="","",G66*60)</f>
        <v>42</v>
      </c>
      <c r="Q66">
        <f>IF(H66="","",H66*60)</f>
        <v>306</v>
      </c>
      <c r="R66">
        <f>IF(I66="","",I66*60)</f>
        <v>196.99979999999999</v>
      </c>
      <c r="S66">
        <f>IF(J66="","",J66*60)</f>
        <v>535.99979999999994</v>
      </c>
      <c r="T66" s="3">
        <f>ROUND(IF(L66="",AVERAGE(L:L),L66)+IF(M66="",AVERAGE(M:M),M66)+IF(N66="",AVERAGE(N:N),N66)+IF(O66="",AVERAGE(O:O),O66)+IF(P66="",AVERAGE(P:P),P66)+IF(Q66="",AVERAGE(Q:Q),Q66)+IF(R66="",AVERAGE(R:R),R66)+IF(S66="",AVERAGE(S:S),S66), 4-(1+INT(LOG10(ABS(IF(L66="",AVERAGE(L:L),L66)+IF(M66="",AVERAGE(M:M),M66)+IF(N66="",AVERAGE(N:N),N66)+IF(O66="",AVERAGE(O:O),O66)+IF(P66="",AVERAGE(P:P),P66)+IF(Q66="",AVERAGE(Q:Q),Q66)+IF(R66="",AVERAGE(R:R),R66)+IF(S66="",AVERAGE(S:S),S66))))))</f>
        <v>1975</v>
      </c>
    </row>
    <row r="67" spans="1:20" x14ac:dyDescent="0.3">
      <c r="A67" s="1">
        <v>45886.020578703705</v>
      </c>
      <c r="B67">
        <v>1755404978</v>
      </c>
      <c r="C67">
        <v>2.2166600000000001</v>
      </c>
      <c r="E67">
        <v>3.2</v>
      </c>
      <c r="F67">
        <v>1.91666</v>
      </c>
      <c r="G67">
        <v>0.68332999999999999</v>
      </c>
      <c r="H67">
        <v>6.0833300000000001</v>
      </c>
      <c r="I67">
        <v>3.3</v>
      </c>
      <c r="J67">
        <v>8.7833299999999994</v>
      </c>
      <c r="L67">
        <f>IF(C67="","",C67*60)</f>
        <v>132.99960000000002</v>
      </c>
      <c r="M67" t="str">
        <f>IF(D67="","",D67*60)</f>
        <v/>
      </c>
      <c r="N67">
        <f>IF(E67="","",E67*60)</f>
        <v>192</v>
      </c>
      <c r="O67">
        <f>IF(F67="","",F67*60)</f>
        <v>114.9996</v>
      </c>
      <c r="P67">
        <f>IF(G67="","",G67*60)</f>
        <v>40.9998</v>
      </c>
      <c r="Q67">
        <f>IF(H67="","",H67*60)</f>
        <v>364.99979999999999</v>
      </c>
      <c r="R67">
        <f>IF(I67="","",I67*60)</f>
        <v>198</v>
      </c>
      <c r="S67">
        <f>IF(J67="","",J67*60)</f>
        <v>526.99979999999994</v>
      </c>
      <c r="T67" s="3">
        <f>ROUND(IF(L67="",AVERAGE(L:L),L67)+IF(M67="",AVERAGE(M:M),M67)+IF(N67="",AVERAGE(N:N),N67)+IF(O67="",AVERAGE(O:O),O67)+IF(P67="",AVERAGE(P:P),P67)+IF(Q67="",AVERAGE(Q:Q),Q67)+IF(R67="",AVERAGE(R:R),R67)+IF(S67="",AVERAGE(S:S),S67), 4-(1+INT(LOG10(ABS(IF(L67="",AVERAGE(L:L),L67)+IF(M67="",AVERAGE(M:M),M67)+IF(N67="",AVERAGE(N:N),N67)+IF(O67="",AVERAGE(O:O),O67)+IF(P67="",AVERAGE(P:P),P67)+IF(Q67="",AVERAGE(Q:Q),Q67)+IF(R67="",AVERAGE(R:R),R67)+IF(S67="",AVERAGE(S:S),S67))))))</f>
        <v>2061</v>
      </c>
    </row>
    <row r="68" spans="1:20" x14ac:dyDescent="0.3">
      <c r="A68" s="1">
        <v>45886.041909722226</v>
      </c>
      <c r="B68">
        <v>1755406821</v>
      </c>
      <c r="C68">
        <v>2.0499999999999998</v>
      </c>
      <c r="E68">
        <v>3.1333299999999999</v>
      </c>
      <c r="F68">
        <v>1.9</v>
      </c>
      <c r="G68">
        <v>0.7</v>
      </c>
      <c r="H68">
        <v>5.1666600000000003</v>
      </c>
      <c r="I68">
        <v>3.36666</v>
      </c>
      <c r="J68">
        <v>9.0833300000000001</v>
      </c>
      <c r="L68">
        <f>IF(C68="","",C68*60)</f>
        <v>122.99999999999999</v>
      </c>
      <c r="M68" t="str">
        <f>IF(D68="","",D68*60)</f>
        <v/>
      </c>
      <c r="N68">
        <f>IF(E68="","",E68*60)</f>
        <v>187.99979999999999</v>
      </c>
      <c r="O68">
        <f>IF(F68="","",F68*60)</f>
        <v>114</v>
      </c>
      <c r="P68">
        <f>IF(G68="","",G68*60)</f>
        <v>42</v>
      </c>
      <c r="Q68">
        <f>IF(H68="","",H68*60)</f>
        <v>309.99959999999999</v>
      </c>
      <c r="R68">
        <f>IF(I68="","",I68*60)</f>
        <v>201.99959999999999</v>
      </c>
      <c r="S68">
        <f>IF(J68="","",J68*60)</f>
        <v>544.99980000000005</v>
      </c>
      <c r="T68" s="3">
        <f>ROUND(IF(L68="",AVERAGE(L:L),L68)+IF(M68="",AVERAGE(M:M),M68)+IF(N68="",AVERAGE(N:N),N68)+IF(O68="",AVERAGE(O:O),O68)+IF(P68="",AVERAGE(P:P),P68)+IF(Q68="",AVERAGE(Q:Q),Q68)+IF(R68="",AVERAGE(R:R),R68)+IF(S68="",AVERAGE(S:S),S68), 4-(1+INT(LOG10(ABS(IF(L68="",AVERAGE(L:L),L68)+IF(M68="",AVERAGE(M:M),M68)+IF(N68="",AVERAGE(N:N),N68)+IF(O68="",AVERAGE(O:O),O68)+IF(P68="",AVERAGE(P:P),P68)+IF(Q68="",AVERAGE(Q:Q),Q68)+IF(R68="",AVERAGE(R:R),R68)+IF(S68="",AVERAGE(S:S),S68))))))</f>
        <v>2014</v>
      </c>
    </row>
    <row r="69" spans="1:20" x14ac:dyDescent="0.3">
      <c r="A69" s="1">
        <v>45886.069826388892</v>
      </c>
      <c r="B69">
        <v>1755409233</v>
      </c>
      <c r="C69">
        <v>2.0666600000000002</v>
      </c>
      <c r="D69">
        <v>8.9499999999999993</v>
      </c>
      <c r="E69">
        <v>2.75</v>
      </c>
      <c r="F69">
        <v>1.91666</v>
      </c>
      <c r="G69">
        <v>0.7</v>
      </c>
      <c r="H69">
        <v>5.2166600000000001</v>
      </c>
      <c r="I69">
        <v>3.25</v>
      </c>
      <c r="J69">
        <v>9.6833299999999998</v>
      </c>
      <c r="L69">
        <f>IF(C69="","",C69*60)</f>
        <v>123.99960000000002</v>
      </c>
      <c r="M69">
        <f>IF(D69="","",D69*60)</f>
        <v>537</v>
      </c>
      <c r="N69">
        <f>IF(E69="","",E69*60)</f>
        <v>165</v>
      </c>
      <c r="O69">
        <f>IF(F69="","",F69*60)</f>
        <v>114.9996</v>
      </c>
      <c r="P69">
        <f>IF(G69="","",G69*60)</f>
        <v>42</v>
      </c>
      <c r="Q69">
        <f>IF(H69="","",H69*60)</f>
        <v>312.99959999999999</v>
      </c>
      <c r="R69">
        <f>IF(I69="","",I69*60)</f>
        <v>195</v>
      </c>
      <c r="S69">
        <f>IF(J69="","",J69*60)</f>
        <v>580.99979999999994</v>
      </c>
      <c r="T69" s="3">
        <f>ROUND(IF(L69="",AVERAGE(L:L),L69)+IF(M69="",AVERAGE(M:M),M69)+IF(N69="",AVERAGE(N:N),N69)+IF(O69="",AVERAGE(O:O),O69)+IF(P69="",AVERAGE(P:P),P69)+IF(Q69="",AVERAGE(Q:Q),Q69)+IF(R69="",AVERAGE(R:R),R69)+IF(S69="",AVERAGE(S:S),S69), 4-(1+INT(LOG10(ABS(IF(L69="",AVERAGE(L:L),L69)+IF(M69="",AVERAGE(M:M),M69)+IF(N69="",AVERAGE(N:N),N69)+IF(O69="",AVERAGE(O:O),O69)+IF(P69="",AVERAGE(P:P),P69)+IF(Q69="",AVERAGE(Q:Q),Q69)+IF(R69="",AVERAGE(R:R),R69)+IF(S69="",AVERAGE(S:S),S69))))))</f>
        <v>2072</v>
      </c>
    </row>
    <row r="70" spans="1:20" x14ac:dyDescent="0.3">
      <c r="A70" s="1">
        <v>45886.097222222219</v>
      </c>
      <c r="B70">
        <v>1755411600</v>
      </c>
      <c r="C70">
        <v>2.2000000000000002</v>
      </c>
      <c r="D70">
        <v>8.0666600000000006</v>
      </c>
      <c r="E70">
        <v>2.75</v>
      </c>
      <c r="F70">
        <v>1.91666</v>
      </c>
      <c r="G70">
        <v>0.7</v>
      </c>
      <c r="H70">
        <v>5.2833300000000003</v>
      </c>
      <c r="I70">
        <v>3.2833299999999999</v>
      </c>
      <c r="J70">
        <v>9.65</v>
      </c>
      <c r="L70">
        <f>IF(C70="","",C70*60)</f>
        <v>132</v>
      </c>
      <c r="M70">
        <f>IF(D70="","",D70*60)</f>
        <v>483.99960000000004</v>
      </c>
      <c r="N70">
        <f>IF(E70="","",E70*60)</f>
        <v>165</v>
      </c>
      <c r="O70">
        <f>IF(F70="","",F70*60)</f>
        <v>114.9996</v>
      </c>
      <c r="P70">
        <f>IF(G70="","",G70*60)</f>
        <v>42</v>
      </c>
      <c r="Q70">
        <f>IF(H70="","",H70*60)</f>
        <v>316.99979999999999</v>
      </c>
      <c r="R70">
        <f>IF(I70="","",I70*60)</f>
        <v>196.99979999999999</v>
      </c>
      <c r="S70">
        <f>IF(J70="","",J70*60)</f>
        <v>579</v>
      </c>
      <c r="T70" s="3">
        <f>ROUND(IF(L70="",AVERAGE(L:L),L70)+IF(M70="",AVERAGE(M:M),M70)+IF(N70="",AVERAGE(N:N),N70)+IF(O70="",AVERAGE(O:O),O70)+IF(P70="",AVERAGE(P:P),P70)+IF(Q70="",AVERAGE(Q:Q),Q70)+IF(R70="",AVERAGE(R:R),R70)+IF(S70="",AVERAGE(S:S),S70), 4-(1+INT(LOG10(ABS(IF(L70="",AVERAGE(L:L),L70)+IF(M70="",AVERAGE(M:M),M70)+IF(N70="",AVERAGE(N:N),N70)+IF(O70="",AVERAGE(O:O),O70)+IF(P70="",AVERAGE(P:P),P70)+IF(Q70="",AVERAGE(Q:Q),Q70)+IF(R70="",AVERAGE(R:R),R70)+IF(S70="",AVERAGE(S:S),S70))))))</f>
        <v>2031</v>
      </c>
    </row>
    <row r="71" spans="1:20" x14ac:dyDescent="0.3">
      <c r="A71" s="1">
        <v>45886.124085648145</v>
      </c>
      <c r="B71">
        <v>1755413921</v>
      </c>
      <c r="C71">
        <v>2.1333299999999999</v>
      </c>
      <c r="D71">
        <v>7.5166599999999999</v>
      </c>
      <c r="E71">
        <v>2.9166599999999998</v>
      </c>
      <c r="F71">
        <v>1.8833299999999999</v>
      </c>
      <c r="G71">
        <v>0.73333000000000004</v>
      </c>
      <c r="H71">
        <v>5.2333299999999996</v>
      </c>
      <c r="I71">
        <v>3.2666599999999999</v>
      </c>
      <c r="J71">
        <v>9.1166599999999995</v>
      </c>
      <c r="L71">
        <f>IF(C71="","",C71*60)</f>
        <v>127.99979999999999</v>
      </c>
      <c r="M71">
        <f>IF(D71="","",D71*60)</f>
        <v>450.99959999999999</v>
      </c>
      <c r="N71">
        <f>IF(E71="","",E71*60)</f>
        <v>174.99959999999999</v>
      </c>
      <c r="O71">
        <f>IF(F71="","",F71*60)</f>
        <v>112.99979999999999</v>
      </c>
      <c r="P71">
        <f>IF(G71="","",G71*60)</f>
        <v>43.9998</v>
      </c>
      <c r="Q71">
        <f>IF(H71="","",H71*60)</f>
        <v>313.99979999999999</v>
      </c>
      <c r="R71">
        <f>IF(I71="","",I71*60)</f>
        <v>195.99959999999999</v>
      </c>
      <c r="S71">
        <f>IF(J71="","",J71*60)</f>
        <v>546.99959999999999</v>
      </c>
      <c r="T71" s="3">
        <f>ROUND(IF(L71="",AVERAGE(L:L),L71)+IF(M71="",AVERAGE(M:M),M71)+IF(N71="",AVERAGE(N:N),N71)+IF(O71="",AVERAGE(O:O),O71)+IF(P71="",AVERAGE(P:P),P71)+IF(Q71="",AVERAGE(Q:Q),Q71)+IF(R71="",AVERAGE(R:R),R71)+IF(S71="",AVERAGE(S:S),S71), 4-(1+INT(LOG10(ABS(IF(L71="",AVERAGE(L:L),L71)+IF(M71="",AVERAGE(M:M),M71)+IF(N71="",AVERAGE(N:N),N71)+IF(O71="",AVERAGE(O:O),O71)+IF(P71="",AVERAGE(P:P),P71)+IF(Q71="",AVERAGE(Q:Q),Q71)+IF(R71="",AVERAGE(R:R),R71)+IF(S71="",AVERAGE(S:S),S71))))))</f>
        <v>1968</v>
      </c>
    </row>
    <row r="72" spans="1:20" x14ac:dyDescent="0.3">
      <c r="A72" s="1">
        <v>45886.152499999997</v>
      </c>
      <c r="B72">
        <v>1755416376</v>
      </c>
      <c r="C72">
        <v>2.6333299999999999</v>
      </c>
      <c r="D72">
        <v>7.6333299999999999</v>
      </c>
      <c r="E72">
        <v>3.8166600000000002</v>
      </c>
      <c r="F72">
        <v>2.3333300000000001</v>
      </c>
      <c r="G72">
        <v>0.83333000000000002</v>
      </c>
      <c r="H72">
        <v>5.2166600000000001</v>
      </c>
      <c r="I72">
        <v>3.9333300000000002</v>
      </c>
      <c r="J72">
        <v>8.8166600000000006</v>
      </c>
      <c r="L72">
        <f>IF(C72="","",C72*60)</f>
        <v>157.99979999999999</v>
      </c>
      <c r="M72">
        <f>IF(D72="","",D72*60)</f>
        <v>457.99979999999999</v>
      </c>
      <c r="N72">
        <f>IF(E72="","",E72*60)</f>
        <v>228.99960000000002</v>
      </c>
      <c r="O72">
        <f>IF(F72="","",F72*60)</f>
        <v>139.99979999999999</v>
      </c>
      <c r="P72">
        <f>IF(G72="","",G72*60)</f>
        <v>49.9998</v>
      </c>
      <c r="Q72">
        <f>IF(H72="","",H72*60)</f>
        <v>312.99959999999999</v>
      </c>
      <c r="R72">
        <f>IF(I72="","",I72*60)</f>
        <v>235.99980000000002</v>
      </c>
      <c r="S72">
        <f>IF(J72="","",J72*60)</f>
        <v>528.99959999999999</v>
      </c>
      <c r="T72" s="3">
        <f>ROUND(IF(L72="",AVERAGE(L:L),L72)+IF(M72="",AVERAGE(M:M),M72)+IF(N72="",AVERAGE(N:N),N72)+IF(O72="",AVERAGE(O:O),O72)+IF(P72="",AVERAGE(P:P),P72)+IF(Q72="",AVERAGE(Q:Q),Q72)+IF(R72="",AVERAGE(R:R),R72)+IF(S72="",AVERAGE(S:S),S72), 4-(1+INT(LOG10(ABS(IF(L72="",AVERAGE(L:L),L72)+IF(M72="",AVERAGE(M:M),M72)+IF(N72="",AVERAGE(N:N),N72)+IF(O72="",AVERAGE(O:O),O72)+IF(P72="",AVERAGE(P:P),P72)+IF(Q72="",AVERAGE(Q:Q),Q72)+IF(R72="",AVERAGE(R:R),R72)+IF(S72="",AVERAGE(S:S),S72))))))</f>
        <v>2113</v>
      </c>
    </row>
    <row r="73" spans="1:20" x14ac:dyDescent="0.3">
      <c r="A73" s="1">
        <v>45886.186180555553</v>
      </c>
      <c r="B73">
        <v>1755419286</v>
      </c>
      <c r="C73">
        <v>2.36666</v>
      </c>
      <c r="D73">
        <v>10.716659999999999</v>
      </c>
      <c r="E73">
        <v>3.0333299999999999</v>
      </c>
      <c r="F73">
        <v>3.0833300000000001</v>
      </c>
      <c r="G73">
        <v>1.5333300000000001</v>
      </c>
      <c r="H73">
        <v>7.1833299999999998</v>
      </c>
      <c r="I73">
        <v>4</v>
      </c>
      <c r="J73">
        <v>10.466659999999999</v>
      </c>
      <c r="L73">
        <f>IF(C73="","",C73*60)</f>
        <v>141.99959999999999</v>
      </c>
      <c r="M73">
        <f>IF(D73="","",D73*60)</f>
        <v>642.99959999999999</v>
      </c>
      <c r="N73">
        <f>IF(E73="","",E73*60)</f>
        <v>181.99979999999999</v>
      </c>
      <c r="O73">
        <f>IF(F73="","",F73*60)</f>
        <v>184.99979999999999</v>
      </c>
      <c r="P73">
        <f>IF(G73="","",G73*60)</f>
        <v>91.999800000000008</v>
      </c>
      <c r="Q73">
        <f>IF(H73="","",H73*60)</f>
        <v>430.99979999999999</v>
      </c>
      <c r="R73">
        <f>IF(I73="","",I73*60)</f>
        <v>240</v>
      </c>
      <c r="S73">
        <f>IF(J73="","",J73*60)</f>
        <v>627.99959999999999</v>
      </c>
      <c r="T73" s="3">
        <f>ROUND(IF(L73="",AVERAGE(L:L),L73)+IF(M73="",AVERAGE(M:M),M73)+IF(N73="",AVERAGE(N:N),N73)+IF(O73="",AVERAGE(O:O),O73)+IF(P73="",AVERAGE(P:P),P73)+IF(Q73="",AVERAGE(Q:Q),Q73)+IF(R73="",AVERAGE(R:R),R73)+IF(S73="",AVERAGE(S:S),S73), 4-(1+INT(LOG10(ABS(IF(L73="",AVERAGE(L:L),L73)+IF(M73="",AVERAGE(M:M),M73)+IF(N73="",AVERAGE(N:N),N73)+IF(O73="",AVERAGE(O:O),O73)+IF(P73="",AVERAGE(P:P),P73)+IF(Q73="",AVERAGE(Q:Q),Q73)+IF(R73="",AVERAGE(R:R),R73)+IF(S73="",AVERAGE(S:S),S73))))))</f>
        <v>2543</v>
      </c>
    </row>
    <row r="74" spans="1:20" x14ac:dyDescent="0.3">
      <c r="A74" s="1">
        <v>45887.557245370372</v>
      </c>
      <c r="B74">
        <v>1755537746</v>
      </c>
      <c r="C74">
        <v>3.45</v>
      </c>
      <c r="E74">
        <v>3.0333299999999999</v>
      </c>
      <c r="F74">
        <v>2.1833300000000002</v>
      </c>
      <c r="G74">
        <v>0.93332999999999999</v>
      </c>
      <c r="H74">
        <v>5.5333300000000003</v>
      </c>
      <c r="I74">
        <v>3.5333299999999999</v>
      </c>
      <c r="L74">
        <f>IF(C74="","",C74*60)</f>
        <v>207</v>
      </c>
      <c r="M74" t="str">
        <f>IF(D74="","",D74*60)</f>
        <v/>
      </c>
      <c r="N74">
        <f>IF(E74="","",E74*60)</f>
        <v>181.99979999999999</v>
      </c>
      <c r="O74">
        <f>IF(F74="","",F74*60)</f>
        <v>130.99980000000002</v>
      </c>
      <c r="P74">
        <f>IF(G74="","",G74*60)</f>
        <v>55.9998</v>
      </c>
      <c r="Q74">
        <f>IF(H74="","",H74*60)</f>
        <v>331.99979999999999</v>
      </c>
      <c r="R74">
        <f>IF(I74="","",I74*60)</f>
        <v>211.99979999999999</v>
      </c>
      <c r="S74" t="str">
        <f>IF(J74="","",J74*60)</f>
        <v/>
      </c>
      <c r="T74" s="3">
        <f>ROUND(IF(L74="",AVERAGE(L:L),L74)+IF(M74="",AVERAGE(M:M),M74)+IF(N74="",AVERAGE(N:N),N74)+IF(O74="",AVERAGE(O:O),O74)+IF(P74="",AVERAGE(P:P),P74)+IF(Q74="",AVERAGE(Q:Q),Q74)+IF(R74="",AVERAGE(R:R),R74)+IF(S74="",AVERAGE(S:S),S74), 4-(1+INT(LOG10(ABS(IF(L74="",AVERAGE(L:L),L74)+IF(M74="",AVERAGE(M:M),M74)+IF(N74="",AVERAGE(N:N),N74)+IF(O74="",AVERAGE(O:O),O74)+IF(P74="",AVERAGE(P:P),P74)+IF(Q74="",AVERAGE(Q:Q),Q74)+IF(R74="",AVERAGE(R:R),R74)+IF(S74="",AVERAGE(S:S),S74))))))</f>
        <v>2228</v>
      </c>
    </row>
    <row r="75" spans="1:20" x14ac:dyDescent="0.3">
      <c r="A75" s="1">
        <v>45890.548449074071</v>
      </c>
      <c r="B75">
        <v>1755796186</v>
      </c>
      <c r="C75">
        <v>1.73333</v>
      </c>
      <c r="D75">
        <v>10.16666</v>
      </c>
      <c r="E75">
        <v>3.48333</v>
      </c>
      <c r="F75">
        <v>2.35</v>
      </c>
      <c r="G75">
        <v>0.78332999999999997</v>
      </c>
      <c r="H75">
        <v>5.3166599999999997</v>
      </c>
      <c r="I75">
        <v>3.6</v>
      </c>
      <c r="J75">
        <v>12.216659999999999</v>
      </c>
      <c r="L75">
        <f>IF(C75="","",C75*60)</f>
        <v>103.99980000000001</v>
      </c>
      <c r="M75">
        <f>IF(D75="","",D75*60)</f>
        <v>609.99959999999999</v>
      </c>
      <c r="N75">
        <f>IF(E75="","",E75*60)</f>
        <v>208.99979999999999</v>
      </c>
      <c r="O75">
        <f>IF(F75="","",F75*60)</f>
        <v>141</v>
      </c>
      <c r="P75">
        <f>IF(G75="","",G75*60)</f>
        <v>46.9998</v>
      </c>
      <c r="Q75">
        <f>IF(H75="","",H75*60)</f>
        <v>318.99959999999999</v>
      </c>
      <c r="R75">
        <f>IF(I75="","",I75*60)</f>
        <v>216</v>
      </c>
      <c r="S75">
        <f>IF(J75="","",J75*60)</f>
        <v>732.99959999999999</v>
      </c>
      <c r="T75" s="3">
        <f>ROUND(IF(L75="",AVERAGE(L:L),L75)+IF(M75="",AVERAGE(M:M),M75)+IF(N75="",AVERAGE(N:N),N75)+IF(O75="",AVERAGE(O:O),O75)+IF(P75="",AVERAGE(P:P),P75)+IF(Q75="",AVERAGE(Q:Q),Q75)+IF(R75="",AVERAGE(R:R),R75)+IF(S75="",AVERAGE(S:S),S75), 4-(1+INT(LOG10(ABS(IF(L75="",AVERAGE(L:L),L75)+IF(M75="",AVERAGE(M:M),M75)+IF(N75="",AVERAGE(N:N),N75)+IF(O75="",AVERAGE(O:O),O75)+IF(P75="",AVERAGE(P:P),P75)+IF(Q75="",AVERAGE(Q:Q),Q75)+IF(R75="",AVERAGE(R:R),R75)+IF(S75="",AVERAGE(S:S),S75))))))</f>
        <v>2379</v>
      </c>
    </row>
    <row r="76" spans="1:20" x14ac:dyDescent="0.3">
      <c r="A76" s="1">
        <v>45890.578472222223</v>
      </c>
      <c r="B76">
        <v>1755798780</v>
      </c>
      <c r="C76">
        <v>2.15</v>
      </c>
      <c r="D76">
        <v>10.26666</v>
      </c>
      <c r="E76">
        <v>3.35</v>
      </c>
      <c r="F76">
        <v>2.36666</v>
      </c>
      <c r="G76">
        <v>0.83333000000000002</v>
      </c>
      <c r="H76">
        <v>5.3166599999999997</v>
      </c>
      <c r="I76">
        <v>3.25</v>
      </c>
      <c r="J76">
        <v>12.4</v>
      </c>
      <c r="L76">
        <f>IF(C76="","",C76*60)</f>
        <v>129</v>
      </c>
      <c r="M76">
        <f>IF(D76="","",D76*60)</f>
        <v>615.99959999999999</v>
      </c>
      <c r="N76">
        <f>IF(E76="","",E76*60)</f>
        <v>201</v>
      </c>
      <c r="O76">
        <f>IF(F76="","",F76*60)</f>
        <v>141.99959999999999</v>
      </c>
      <c r="P76">
        <f>IF(G76="","",G76*60)</f>
        <v>49.9998</v>
      </c>
      <c r="Q76">
        <f>IF(H76="","",H76*60)</f>
        <v>318.99959999999999</v>
      </c>
      <c r="R76">
        <f>IF(I76="","",I76*60)</f>
        <v>195</v>
      </c>
      <c r="S76">
        <f>IF(J76="","",J76*60)</f>
        <v>744</v>
      </c>
      <c r="T76" s="3">
        <f>ROUND(IF(L76="",AVERAGE(L:L),L76)+IF(M76="",AVERAGE(M:M),M76)+IF(N76="",AVERAGE(N:N),N76)+IF(O76="",AVERAGE(O:O),O76)+IF(P76="",AVERAGE(P:P),P76)+IF(Q76="",AVERAGE(Q:Q),Q76)+IF(R76="",AVERAGE(R:R),R76)+IF(S76="",AVERAGE(S:S),S76), 4-(1+INT(LOG10(ABS(IF(L76="",AVERAGE(L:L),L76)+IF(M76="",AVERAGE(M:M),M76)+IF(N76="",AVERAGE(N:N),N76)+IF(O76="",AVERAGE(O:O),O76)+IF(P76="",AVERAGE(P:P),P76)+IF(Q76="",AVERAGE(Q:Q),Q76)+IF(R76="",AVERAGE(R:R),R76)+IF(S76="",AVERAGE(S:S),S76))))))</f>
        <v>2396</v>
      </c>
    </row>
    <row r="77" spans="1:20" x14ac:dyDescent="0.3">
      <c r="A77" s="1">
        <v>45890.609155092592</v>
      </c>
      <c r="B77">
        <v>1755801431</v>
      </c>
      <c r="C77">
        <v>2.75</v>
      </c>
      <c r="D77">
        <v>9.4499999999999993</v>
      </c>
      <c r="E77">
        <v>3.5166599999999999</v>
      </c>
      <c r="F77">
        <v>2.4333300000000002</v>
      </c>
      <c r="G77">
        <v>0.76666000000000001</v>
      </c>
      <c r="H77">
        <v>5.35</v>
      </c>
      <c r="I77">
        <v>3.3166600000000002</v>
      </c>
      <c r="J77">
        <v>12.98333</v>
      </c>
      <c r="L77">
        <f>IF(C77="","",C77*60)</f>
        <v>165</v>
      </c>
      <c r="M77">
        <f>IF(D77="","",D77*60)</f>
        <v>567</v>
      </c>
      <c r="N77">
        <f>IF(E77="","",E77*60)</f>
        <v>210.99959999999999</v>
      </c>
      <c r="O77">
        <f>IF(F77="","",F77*60)</f>
        <v>145.99980000000002</v>
      </c>
      <c r="P77">
        <f>IF(G77="","",G77*60)</f>
        <v>45.999600000000001</v>
      </c>
      <c r="Q77">
        <f>IF(H77="","",H77*60)</f>
        <v>321</v>
      </c>
      <c r="R77">
        <f>IF(I77="","",I77*60)</f>
        <v>198.99960000000002</v>
      </c>
      <c r="S77">
        <f>IF(J77="","",J77*60)</f>
        <v>778.99980000000005</v>
      </c>
      <c r="T77" s="3">
        <f>ROUND(IF(L77="",AVERAGE(L:L),L77)+IF(M77="",AVERAGE(M:M),M77)+IF(N77="",AVERAGE(N:N),N77)+IF(O77="",AVERAGE(O:O),O77)+IF(P77="",AVERAGE(P:P),P77)+IF(Q77="",AVERAGE(Q:Q),Q77)+IF(R77="",AVERAGE(R:R),R77)+IF(S77="",AVERAGE(S:S),S77), 4-(1+INT(LOG10(ABS(IF(L77="",AVERAGE(L:L),L77)+IF(M77="",AVERAGE(M:M),M77)+IF(N77="",AVERAGE(N:N),N77)+IF(O77="",AVERAGE(O:O),O77)+IF(P77="",AVERAGE(P:P),P77)+IF(Q77="",AVERAGE(Q:Q),Q77)+IF(R77="",AVERAGE(R:R),R77)+IF(S77="",AVERAGE(S:S),S77))))))</f>
        <v>2434</v>
      </c>
    </row>
    <row r="78" spans="1:20" x14ac:dyDescent="0.3">
      <c r="A78" s="1">
        <v>45890.637916666667</v>
      </c>
      <c r="B78">
        <v>1755803916</v>
      </c>
      <c r="C78">
        <v>2.25</v>
      </c>
      <c r="D78">
        <v>10.25</v>
      </c>
      <c r="E78">
        <v>3.2166600000000001</v>
      </c>
      <c r="F78">
        <v>2.2833299999999999</v>
      </c>
      <c r="G78">
        <v>0.71665999999999996</v>
      </c>
      <c r="H78">
        <v>5.2833300000000003</v>
      </c>
      <c r="I78">
        <v>3.25</v>
      </c>
      <c r="J78">
        <v>11</v>
      </c>
      <c r="L78">
        <f>IF(C78="","",C78*60)</f>
        <v>135</v>
      </c>
      <c r="M78">
        <f>IF(D78="","",D78*60)</f>
        <v>615</v>
      </c>
      <c r="N78">
        <f>IF(E78="","",E78*60)</f>
        <v>192.99960000000002</v>
      </c>
      <c r="O78">
        <f>IF(F78="","",F78*60)</f>
        <v>136.99979999999999</v>
      </c>
      <c r="P78">
        <f>IF(G78="","",G78*60)</f>
        <v>42.999600000000001</v>
      </c>
      <c r="Q78">
        <f>IF(H78="","",H78*60)</f>
        <v>316.99979999999999</v>
      </c>
      <c r="R78">
        <f>IF(I78="","",I78*60)</f>
        <v>195</v>
      </c>
      <c r="S78">
        <f>IF(J78="","",J78*60)</f>
        <v>660</v>
      </c>
      <c r="T78" s="3">
        <f>ROUND(IF(L78="",AVERAGE(L:L),L78)+IF(M78="",AVERAGE(M:M),M78)+IF(N78="",AVERAGE(N:N),N78)+IF(O78="",AVERAGE(O:O),O78)+IF(P78="",AVERAGE(P:P),P78)+IF(Q78="",AVERAGE(Q:Q),Q78)+IF(R78="",AVERAGE(R:R),R78)+IF(S78="",AVERAGE(S:S),S78), 4-(1+INT(LOG10(ABS(IF(L78="",AVERAGE(L:L),L78)+IF(M78="",AVERAGE(M:M),M78)+IF(N78="",AVERAGE(N:N),N78)+IF(O78="",AVERAGE(O:O),O78)+IF(P78="",AVERAGE(P:P),P78)+IF(Q78="",AVERAGE(Q:Q),Q78)+IF(R78="",AVERAGE(R:R),R78)+IF(S78="",AVERAGE(S:S),S78))))))</f>
        <v>2295</v>
      </c>
    </row>
    <row r="79" spans="1:20" x14ac:dyDescent="0.3">
      <c r="A79" s="1">
        <v>45890.667430555557</v>
      </c>
      <c r="B79">
        <v>1755806466</v>
      </c>
      <c r="C79">
        <v>2.2833299999999999</v>
      </c>
      <c r="D79">
        <v>9.0666600000000006</v>
      </c>
      <c r="E79">
        <v>3.48333</v>
      </c>
      <c r="F79">
        <v>2.4</v>
      </c>
      <c r="G79">
        <v>0.71665999999999996</v>
      </c>
      <c r="H79">
        <v>5.8166599999999997</v>
      </c>
      <c r="I79">
        <v>3.5</v>
      </c>
      <c r="J79">
        <v>10.883330000000001</v>
      </c>
      <c r="L79">
        <f>IF(C79="","",C79*60)</f>
        <v>136.99979999999999</v>
      </c>
      <c r="M79">
        <f>IF(D79="","",D79*60)</f>
        <v>543.99959999999999</v>
      </c>
      <c r="N79">
        <f>IF(E79="","",E79*60)</f>
        <v>208.99979999999999</v>
      </c>
      <c r="O79">
        <f>IF(F79="","",F79*60)</f>
        <v>144</v>
      </c>
      <c r="P79">
        <f>IF(G79="","",G79*60)</f>
        <v>42.999600000000001</v>
      </c>
      <c r="Q79">
        <f>IF(H79="","",H79*60)</f>
        <v>348.99959999999999</v>
      </c>
      <c r="R79">
        <f>IF(I79="","",I79*60)</f>
        <v>210</v>
      </c>
      <c r="S79">
        <f>IF(J79="","",J79*60)</f>
        <v>652.99980000000005</v>
      </c>
      <c r="T79" s="3">
        <f>ROUND(IF(L79="",AVERAGE(L:L),L79)+IF(M79="",AVERAGE(M:M),M79)+IF(N79="",AVERAGE(N:N),N79)+IF(O79="",AVERAGE(O:O),O79)+IF(P79="",AVERAGE(P:P),P79)+IF(Q79="",AVERAGE(Q:Q),Q79)+IF(R79="",AVERAGE(R:R),R79)+IF(S79="",AVERAGE(S:S),S79), 4-(1+INT(LOG10(ABS(IF(L79="",AVERAGE(L:L),L79)+IF(M79="",AVERAGE(M:M),M79)+IF(N79="",AVERAGE(N:N),N79)+IF(O79="",AVERAGE(O:O),O79)+IF(P79="",AVERAGE(P:P),P79)+IF(Q79="",AVERAGE(Q:Q),Q79)+IF(R79="",AVERAGE(R:R),R79)+IF(S79="",AVERAGE(S:S),S79))))))</f>
        <v>2289</v>
      </c>
    </row>
    <row r="80" spans="1:20" x14ac:dyDescent="0.3">
      <c r="A80" s="1">
        <v>45890.696539351855</v>
      </c>
      <c r="B80">
        <v>1755808981</v>
      </c>
      <c r="C80">
        <v>2.2999999999999998</v>
      </c>
      <c r="D80">
        <v>9.2666599999999999</v>
      </c>
      <c r="E80">
        <v>3.4</v>
      </c>
      <c r="F80">
        <v>2.4</v>
      </c>
      <c r="G80">
        <v>0.71665999999999996</v>
      </c>
      <c r="H80">
        <v>5.7666599999999999</v>
      </c>
      <c r="I80">
        <v>3.5333299999999999</v>
      </c>
      <c r="J80">
        <v>11.133330000000001</v>
      </c>
      <c r="L80">
        <f>IF(C80="","",C80*60)</f>
        <v>138</v>
      </c>
      <c r="M80">
        <f>IF(D80="","",D80*60)</f>
        <v>555.99959999999999</v>
      </c>
      <c r="N80">
        <f>IF(E80="","",E80*60)</f>
        <v>204</v>
      </c>
      <c r="O80">
        <f>IF(F80="","",F80*60)</f>
        <v>144</v>
      </c>
      <c r="P80">
        <f>IF(G80="","",G80*60)</f>
        <v>42.999600000000001</v>
      </c>
      <c r="Q80">
        <f>IF(H80="","",H80*60)</f>
        <v>345.99959999999999</v>
      </c>
      <c r="R80">
        <f>IF(I80="","",I80*60)</f>
        <v>211.99979999999999</v>
      </c>
      <c r="S80">
        <f>IF(J80="","",J80*60)</f>
        <v>667.99980000000005</v>
      </c>
      <c r="T80" s="3">
        <f>ROUND(IF(L80="",AVERAGE(L:L),L80)+IF(M80="",AVERAGE(M:M),M80)+IF(N80="",AVERAGE(N:N),N80)+IF(O80="",AVERAGE(O:O),O80)+IF(P80="",AVERAGE(P:P),P80)+IF(Q80="",AVERAGE(Q:Q),Q80)+IF(R80="",AVERAGE(R:R),R80)+IF(S80="",AVERAGE(S:S),S80), 4-(1+INT(LOG10(ABS(IF(L80="",AVERAGE(L:L),L80)+IF(M80="",AVERAGE(M:M),M80)+IF(N80="",AVERAGE(N:N),N80)+IF(O80="",AVERAGE(O:O),O80)+IF(P80="",AVERAGE(P:P),P80)+IF(Q80="",AVERAGE(Q:Q),Q80)+IF(R80="",AVERAGE(R:R),R80)+IF(S80="",AVERAGE(S:S),S80))))))</f>
        <v>2311</v>
      </c>
    </row>
    <row r="81" spans="1:20" x14ac:dyDescent="0.3">
      <c r="A81" s="1">
        <v>45890.725706018522</v>
      </c>
      <c r="B81">
        <v>1755811501</v>
      </c>
      <c r="C81">
        <v>2.2000000000000002</v>
      </c>
      <c r="D81">
        <v>7.8666600000000004</v>
      </c>
      <c r="E81">
        <v>3.6333299999999999</v>
      </c>
      <c r="F81">
        <v>3.3166600000000002</v>
      </c>
      <c r="G81">
        <v>0.91666000000000003</v>
      </c>
      <c r="H81">
        <v>6.5333300000000003</v>
      </c>
      <c r="I81">
        <v>3.6</v>
      </c>
      <c r="J81">
        <v>10.566660000000001</v>
      </c>
      <c r="L81">
        <f>IF(C81="","",C81*60)</f>
        <v>132</v>
      </c>
      <c r="M81">
        <f>IF(D81="","",D81*60)</f>
        <v>471.99960000000004</v>
      </c>
      <c r="N81">
        <f>IF(E81="","",E81*60)</f>
        <v>217.99979999999999</v>
      </c>
      <c r="O81">
        <f>IF(F81="","",F81*60)</f>
        <v>198.99960000000002</v>
      </c>
      <c r="P81">
        <f>IF(G81="","",G81*60)</f>
        <v>54.999600000000001</v>
      </c>
      <c r="Q81">
        <f>IF(H81="","",H81*60)</f>
        <v>391.99979999999999</v>
      </c>
      <c r="R81">
        <f>IF(I81="","",I81*60)</f>
        <v>216</v>
      </c>
      <c r="S81">
        <f>IF(J81="","",J81*60)</f>
        <v>633.99959999999999</v>
      </c>
      <c r="T81" s="3">
        <f>ROUND(IF(L81="",AVERAGE(L:L),L81)+IF(M81="",AVERAGE(M:M),M81)+IF(N81="",AVERAGE(N:N),N81)+IF(O81="",AVERAGE(O:O),O81)+IF(P81="",AVERAGE(P:P),P81)+IF(Q81="",AVERAGE(Q:Q),Q81)+IF(R81="",AVERAGE(R:R),R81)+IF(S81="",AVERAGE(S:S),S81), 4-(1+INT(LOG10(ABS(IF(L81="",AVERAGE(L:L),L81)+IF(M81="",AVERAGE(M:M),M81)+IF(N81="",AVERAGE(N:N),N81)+IF(O81="",AVERAGE(O:O),O81)+IF(P81="",AVERAGE(P:P),P81)+IF(Q81="",AVERAGE(Q:Q),Q81)+IF(R81="",AVERAGE(R:R),R81)+IF(S81="",AVERAGE(S:S),S81))))))</f>
        <v>2318</v>
      </c>
    </row>
    <row r="82" spans="1:20" x14ac:dyDescent="0.3">
      <c r="A82" s="1">
        <v>45890.751840277779</v>
      </c>
      <c r="B82">
        <v>1755813759</v>
      </c>
      <c r="C82">
        <v>2.0666600000000002</v>
      </c>
      <c r="D82">
        <v>8.2333300000000005</v>
      </c>
      <c r="E82">
        <v>3.11666</v>
      </c>
      <c r="F82">
        <v>2.25</v>
      </c>
      <c r="G82">
        <v>0.63332999999999995</v>
      </c>
      <c r="H82">
        <v>5.2166600000000001</v>
      </c>
      <c r="I82">
        <v>3.1666599999999998</v>
      </c>
      <c r="J82">
        <v>9.8000000000000007</v>
      </c>
      <c r="L82">
        <f>IF(C82="","",C82*60)</f>
        <v>123.99960000000002</v>
      </c>
      <c r="M82">
        <f>IF(D82="","",D82*60)</f>
        <v>493.99980000000005</v>
      </c>
      <c r="N82">
        <f>IF(E82="","",E82*60)</f>
        <v>186.99959999999999</v>
      </c>
      <c r="O82">
        <f>IF(F82="","",F82*60)</f>
        <v>135</v>
      </c>
      <c r="P82">
        <f>IF(G82="","",G82*60)</f>
        <v>37.999799999999993</v>
      </c>
      <c r="Q82">
        <f>IF(H82="","",H82*60)</f>
        <v>312.99959999999999</v>
      </c>
      <c r="R82">
        <f>IF(I82="","",I82*60)</f>
        <v>189.99959999999999</v>
      </c>
      <c r="S82">
        <f>IF(J82="","",J82*60)</f>
        <v>588</v>
      </c>
      <c r="T82" s="3">
        <f>ROUND(IF(L82="",AVERAGE(L:L),L82)+IF(M82="",AVERAGE(M:M),M82)+IF(N82="",AVERAGE(N:N),N82)+IF(O82="",AVERAGE(O:O),O82)+IF(P82="",AVERAGE(P:P),P82)+IF(Q82="",AVERAGE(Q:Q),Q82)+IF(R82="",AVERAGE(R:R),R82)+IF(S82="",AVERAGE(S:S),S82), 4-(1+INT(LOG10(ABS(IF(L82="",AVERAGE(L:L),L82)+IF(M82="",AVERAGE(M:M),M82)+IF(N82="",AVERAGE(N:N),N82)+IF(O82="",AVERAGE(O:O),O82)+IF(P82="",AVERAGE(P:P),P82)+IF(Q82="",AVERAGE(Q:Q),Q82)+IF(R82="",AVERAGE(R:R),R82)+IF(S82="",AVERAGE(S:S),S82))))))</f>
        <v>2069</v>
      </c>
    </row>
    <row r="83" spans="1:20" x14ac:dyDescent="0.3">
      <c r="A83" s="1">
        <v>45890.775995370372</v>
      </c>
      <c r="B83">
        <v>1755815846</v>
      </c>
      <c r="C83">
        <v>2.1</v>
      </c>
      <c r="E83">
        <v>3.8166600000000002</v>
      </c>
      <c r="F83">
        <v>2.2833299999999999</v>
      </c>
      <c r="G83">
        <v>0.66666000000000003</v>
      </c>
      <c r="H83">
        <v>5.1166600000000004</v>
      </c>
      <c r="I83">
        <v>5</v>
      </c>
      <c r="J83">
        <v>10.9</v>
      </c>
      <c r="L83">
        <f>IF(C83="","",C83*60)</f>
        <v>126</v>
      </c>
      <c r="M83" t="str">
        <f>IF(D83="","",D83*60)</f>
        <v/>
      </c>
      <c r="N83">
        <f>IF(E83="","",E83*60)</f>
        <v>228.99960000000002</v>
      </c>
      <c r="O83">
        <f>IF(F83="","",F83*60)</f>
        <v>136.99979999999999</v>
      </c>
      <c r="P83">
        <f>IF(G83="","",G83*60)</f>
        <v>39.999600000000001</v>
      </c>
      <c r="Q83">
        <f>IF(H83="","",H83*60)</f>
        <v>306.99960000000004</v>
      </c>
      <c r="R83">
        <f>IF(I83="","",I83*60)</f>
        <v>300</v>
      </c>
      <c r="S83">
        <f>IF(J83="","",J83*60)</f>
        <v>654</v>
      </c>
      <c r="T83" s="3">
        <f>ROUND(IF(L83="",AVERAGE(L:L),L83)+IF(M83="",AVERAGE(M:M),M83)+IF(N83="",AVERAGE(N:N),N83)+IF(O83="",AVERAGE(O:O),O83)+IF(P83="",AVERAGE(P:P),P83)+IF(Q83="",AVERAGE(Q:Q),Q83)+IF(R83="",AVERAGE(R:R),R83)+IF(S83="",AVERAGE(S:S),S83), 4-(1+INT(LOG10(ABS(IF(L83="",AVERAGE(L:L),L83)+IF(M83="",AVERAGE(M:M),M83)+IF(N83="",AVERAGE(N:N),N83)+IF(O83="",AVERAGE(O:O),O83)+IF(P83="",AVERAGE(P:P),P83)+IF(Q83="",AVERAGE(Q:Q),Q83)+IF(R83="",AVERAGE(R:R),R83)+IF(S83="",AVERAGE(S:S),S83))))))</f>
        <v>2283</v>
      </c>
    </row>
    <row r="84" spans="1:20" x14ac:dyDescent="0.3">
      <c r="A84" s="1">
        <v>45890.798564814817</v>
      </c>
      <c r="B84">
        <v>1755817796</v>
      </c>
      <c r="C84">
        <v>2.1</v>
      </c>
      <c r="E84">
        <v>3.15</v>
      </c>
      <c r="F84">
        <v>2.2833299999999999</v>
      </c>
      <c r="G84">
        <v>1.43333</v>
      </c>
      <c r="H84">
        <v>5.2666599999999999</v>
      </c>
      <c r="I84">
        <v>3.2833299999999999</v>
      </c>
      <c r="J84">
        <v>9.8333300000000001</v>
      </c>
      <c r="L84">
        <f>IF(C84="","",C84*60)</f>
        <v>126</v>
      </c>
      <c r="M84" t="str">
        <f>IF(D84="","",D84*60)</f>
        <v/>
      </c>
      <c r="N84">
        <f>IF(E84="","",E84*60)</f>
        <v>189</v>
      </c>
      <c r="O84">
        <f>IF(F84="","",F84*60)</f>
        <v>136.99979999999999</v>
      </c>
      <c r="P84">
        <f>IF(G84="","",G84*60)</f>
        <v>85.999799999999993</v>
      </c>
      <c r="Q84">
        <f>IF(H84="","",H84*60)</f>
        <v>315.99959999999999</v>
      </c>
      <c r="R84">
        <f>IF(I84="","",I84*60)</f>
        <v>196.99979999999999</v>
      </c>
      <c r="S84">
        <f>IF(J84="","",J84*60)</f>
        <v>589.99980000000005</v>
      </c>
      <c r="T84" s="3">
        <f>ROUND(IF(L84="",AVERAGE(L:L),L84)+IF(M84="",AVERAGE(M:M),M84)+IF(N84="",AVERAGE(N:N),N84)+IF(O84="",AVERAGE(O:O),O84)+IF(P84="",AVERAGE(P:P),P84)+IF(Q84="",AVERAGE(Q:Q),Q84)+IF(R84="",AVERAGE(R:R),R84)+IF(S84="",AVERAGE(S:S),S84), 4-(1+INT(LOG10(ABS(IF(L84="",AVERAGE(L:L),L84)+IF(M84="",AVERAGE(M:M),M84)+IF(N84="",AVERAGE(N:N),N84)+IF(O84="",AVERAGE(O:O),O84)+IF(P84="",AVERAGE(P:P),P84)+IF(Q84="",AVERAGE(Q:Q),Q84)+IF(R84="",AVERAGE(R:R),R84)+IF(S84="",AVERAGE(S:S),S84))))))</f>
        <v>2131</v>
      </c>
    </row>
    <row r="85" spans="1:20" x14ac:dyDescent="0.3">
      <c r="A85" s="1">
        <v>45890.826666666668</v>
      </c>
      <c r="B85">
        <v>1755820224</v>
      </c>
      <c r="C85">
        <v>2.0833300000000001</v>
      </c>
      <c r="E85">
        <v>3.1333299999999999</v>
      </c>
      <c r="F85">
        <v>2.2666599999999999</v>
      </c>
      <c r="G85">
        <v>0.71665999999999996</v>
      </c>
      <c r="I85">
        <v>3.2666599999999999</v>
      </c>
      <c r="J85">
        <v>10.35</v>
      </c>
      <c r="L85">
        <f>IF(C85="","",C85*60)</f>
        <v>124.99980000000001</v>
      </c>
      <c r="M85" t="str">
        <f>IF(D85="","",D85*60)</f>
        <v/>
      </c>
      <c r="N85">
        <f>IF(E85="","",E85*60)</f>
        <v>187.99979999999999</v>
      </c>
      <c r="O85">
        <f>IF(F85="","",F85*60)</f>
        <v>135.99959999999999</v>
      </c>
      <c r="P85">
        <f>IF(G85="","",G85*60)</f>
        <v>42.999600000000001</v>
      </c>
      <c r="Q85" t="str">
        <f>IF(H85="","",H85*60)</f>
        <v/>
      </c>
      <c r="R85">
        <f>IF(I85="","",I85*60)</f>
        <v>195.99959999999999</v>
      </c>
      <c r="S85">
        <f>IF(J85="","",J85*60)</f>
        <v>621</v>
      </c>
      <c r="T85" s="3">
        <f>ROUND(IF(L85="",AVERAGE(L:L),L85)+IF(M85="",AVERAGE(M:M),M85)+IF(N85="",AVERAGE(N:N),N85)+IF(O85="",AVERAGE(O:O),O85)+IF(P85="",AVERAGE(P:P),P85)+IF(Q85="",AVERAGE(Q:Q),Q85)+IF(R85="",AVERAGE(R:R),R85)+IF(S85="",AVERAGE(S:S),S85), 4-(1+INT(LOG10(ABS(IF(L85="",AVERAGE(L:L),L85)+IF(M85="",AVERAGE(M:M),M85)+IF(N85="",AVERAGE(N:N),N85)+IF(O85="",AVERAGE(O:O),O85)+IF(P85="",AVERAGE(P:P),P85)+IF(Q85="",AVERAGE(Q:Q),Q85)+IF(R85="",AVERAGE(R:R),R85)+IF(S85="",AVERAGE(S:S),S85))))))</f>
        <v>2127</v>
      </c>
    </row>
    <row r="86" spans="1:20" x14ac:dyDescent="0.3">
      <c r="A86" s="1">
        <v>45890.850949074076</v>
      </c>
      <c r="B86">
        <v>1755822322</v>
      </c>
      <c r="C86">
        <v>2.2166600000000001</v>
      </c>
      <c r="E86">
        <v>3.15</v>
      </c>
      <c r="F86">
        <v>2.2833299999999999</v>
      </c>
      <c r="G86">
        <v>0.71665999999999996</v>
      </c>
      <c r="H86">
        <v>5.2666599999999999</v>
      </c>
      <c r="I86">
        <v>3.3333300000000001</v>
      </c>
      <c r="J86">
        <v>10.86666</v>
      </c>
      <c r="L86">
        <f>IF(C86="","",C86*60)</f>
        <v>132.99960000000002</v>
      </c>
      <c r="M86" t="str">
        <f>IF(D86="","",D86*60)</f>
        <v/>
      </c>
      <c r="N86">
        <f>IF(E86="","",E86*60)</f>
        <v>189</v>
      </c>
      <c r="O86">
        <f>IF(F86="","",F86*60)</f>
        <v>136.99979999999999</v>
      </c>
      <c r="P86">
        <f>IF(G86="","",G86*60)</f>
        <v>42.999600000000001</v>
      </c>
      <c r="Q86">
        <f>IF(H86="","",H86*60)</f>
        <v>315.99959999999999</v>
      </c>
      <c r="R86">
        <f>IF(I86="","",I86*60)</f>
        <v>199.99979999999999</v>
      </c>
      <c r="S86">
        <f>IF(J86="","",J86*60)</f>
        <v>651.99959999999999</v>
      </c>
      <c r="T86" s="3">
        <f>ROUND(IF(L86="",AVERAGE(L:L),L86)+IF(M86="",AVERAGE(M:M),M86)+IF(N86="",AVERAGE(N:N),N86)+IF(O86="",AVERAGE(O:O),O86)+IF(P86="",AVERAGE(P:P),P86)+IF(Q86="",AVERAGE(Q:Q),Q86)+IF(R86="",AVERAGE(R:R),R86)+IF(S86="",AVERAGE(S:S),S86), 4-(1+INT(LOG10(ABS(IF(L86="",AVERAGE(L:L),L86)+IF(M86="",AVERAGE(M:M),M86)+IF(N86="",AVERAGE(N:N),N86)+IF(O86="",AVERAGE(O:O),O86)+IF(P86="",AVERAGE(P:P),P86)+IF(Q86="",AVERAGE(Q:Q),Q86)+IF(R86="",AVERAGE(R:R),R86)+IF(S86="",AVERAGE(S:S),S86))))))</f>
        <v>2160</v>
      </c>
    </row>
    <row r="87" spans="1:20" x14ac:dyDescent="0.3">
      <c r="A87" s="1">
        <v>45890.875925925924</v>
      </c>
      <c r="B87">
        <v>1755824480</v>
      </c>
      <c r="C87">
        <v>2.11666</v>
      </c>
      <c r="E87">
        <v>3.1833300000000002</v>
      </c>
      <c r="F87">
        <v>2.2666599999999999</v>
      </c>
      <c r="G87">
        <v>0.7</v>
      </c>
      <c r="H87">
        <v>5.2666599999999999</v>
      </c>
      <c r="I87">
        <v>3.2666599999999999</v>
      </c>
      <c r="J87">
        <v>10.43333</v>
      </c>
      <c r="L87">
        <f>IF(C87="","",C87*60)</f>
        <v>126.9996</v>
      </c>
      <c r="M87" t="str">
        <f>IF(D87="","",D87*60)</f>
        <v/>
      </c>
      <c r="N87">
        <f>IF(E87="","",E87*60)</f>
        <v>190.99980000000002</v>
      </c>
      <c r="O87">
        <f>IF(F87="","",F87*60)</f>
        <v>135.99959999999999</v>
      </c>
      <c r="P87">
        <f>IF(G87="","",G87*60)</f>
        <v>42</v>
      </c>
      <c r="Q87">
        <f>IF(H87="","",H87*60)</f>
        <v>315.99959999999999</v>
      </c>
      <c r="R87">
        <f>IF(I87="","",I87*60)</f>
        <v>195.99959999999999</v>
      </c>
      <c r="S87">
        <f>IF(J87="","",J87*60)</f>
        <v>625.99979999999994</v>
      </c>
      <c r="T87" s="3">
        <f>ROUND(IF(L87="",AVERAGE(L:L),L87)+IF(M87="",AVERAGE(M:M),M87)+IF(N87="",AVERAGE(N:N),N87)+IF(O87="",AVERAGE(O:O),O87)+IF(P87="",AVERAGE(P:P),P87)+IF(Q87="",AVERAGE(Q:Q),Q87)+IF(R87="",AVERAGE(R:R),R87)+IF(S87="",AVERAGE(S:S),S87), 4-(1+INT(LOG10(ABS(IF(L87="",AVERAGE(L:L),L87)+IF(M87="",AVERAGE(M:M),M87)+IF(N87="",AVERAGE(N:N),N87)+IF(O87="",AVERAGE(O:O),O87)+IF(P87="",AVERAGE(P:P),P87)+IF(Q87="",AVERAGE(Q:Q),Q87)+IF(R87="",AVERAGE(R:R),R87)+IF(S87="",AVERAGE(S:S),S87))))))</f>
        <v>2124</v>
      </c>
    </row>
    <row r="88" spans="1:20" x14ac:dyDescent="0.3">
      <c r="A88" s="1">
        <v>45890.902546296296</v>
      </c>
      <c r="B88">
        <v>1755826780</v>
      </c>
      <c r="C88">
        <v>2.5</v>
      </c>
      <c r="E88">
        <v>3.45</v>
      </c>
      <c r="F88">
        <v>2.8166600000000002</v>
      </c>
      <c r="G88">
        <v>0.76666000000000001</v>
      </c>
      <c r="H88">
        <v>5.3</v>
      </c>
      <c r="I88">
        <v>3.2666599999999999</v>
      </c>
      <c r="J88">
        <v>10.48333</v>
      </c>
      <c r="L88">
        <f>IF(C88="","",C88*60)</f>
        <v>150</v>
      </c>
      <c r="M88" t="str">
        <f>IF(D88="","",D88*60)</f>
        <v/>
      </c>
      <c r="N88">
        <f>IF(E88="","",E88*60)</f>
        <v>207</v>
      </c>
      <c r="O88">
        <f>IF(F88="","",F88*60)</f>
        <v>168.99960000000002</v>
      </c>
      <c r="P88">
        <f>IF(G88="","",G88*60)</f>
        <v>45.999600000000001</v>
      </c>
      <c r="Q88">
        <f>IF(H88="","",H88*60)</f>
        <v>318</v>
      </c>
      <c r="R88">
        <f>IF(I88="","",I88*60)</f>
        <v>195.99959999999999</v>
      </c>
      <c r="S88">
        <f>IF(J88="","",J88*60)</f>
        <v>628.99980000000005</v>
      </c>
      <c r="T88" s="3">
        <f>ROUND(IF(L88="",AVERAGE(L:L),L88)+IF(M88="",AVERAGE(M:M),M88)+IF(N88="",AVERAGE(N:N),N88)+IF(O88="",AVERAGE(O:O),O88)+IF(P88="",AVERAGE(P:P),P88)+IF(Q88="",AVERAGE(Q:Q),Q88)+IF(R88="",AVERAGE(R:R),R88)+IF(S88="",AVERAGE(S:S),S88), 4-(1+INT(LOG10(ABS(IF(L88="",AVERAGE(L:L),L88)+IF(M88="",AVERAGE(M:M),M88)+IF(N88="",AVERAGE(N:N),N88)+IF(O88="",AVERAGE(O:O),O88)+IF(P88="",AVERAGE(P:P),P88)+IF(Q88="",AVERAGE(Q:Q),Q88)+IF(R88="",AVERAGE(R:R),R88)+IF(S88="",AVERAGE(S:S),S88))))))</f>
        <v>2205</v>
      </c>
    </row>
    <row r="89" spans="1:20" x14ac:dyDescent="0.3">
      <c r="A89" s="1">
        <v>45890.928333333337</v>
      </c>
      <c r="B89">
        <v>1755829008</v>
      </c>
      <c r="C89">
        <v>2.2666599999999999</v>
      </c>
      <c r="E89">
        <v>3.4</v>
      </c>
      <c r="F89">
        <v>2.35</v>
      </c>
      <c r="G89">
        <v>0.71665999999999996</v>
      </c>
      <c r="H89">
        <v>5.45</v>
      </c>
      <c r="I89">
        <v>3.4166599999999998</v>
      </c>
      <c r="J89">
        <v>10.95</v>
      </c>
      <c r="L89">
        <f>IF(C89="","",C89*60)</f>
        <v>135.99959999999999</v>
      </c>
      <c r="M89" t="str">
        <f>IF(D89="","",D89*60)</f>
        <v/>
      </c>
      <c r="N89">
        <f>IF(E89="","",E89*60)</f>
        <v>204</v>
      </c>
      <c r="O89">
        <f>IF(F89="","",F89*60)</f>
        <v>141</v>
      </c>
      <c r="P89">
        <f>IF(G89="","",G89*60)</f>
        <v>42.999600000000001</v>
      </c>
      <c r="Q89">
        <f>IF(H89="","",H89*60)</f>
        <v>327</v>
      </c>
      <c r="R89">
        <f>IF(I89="","",I89*60)</f>
        <v>204.99959999999999</v>
      </c>
      <c r="S89">
        <f>IF(J89="","",J89*60)</f>
        <v>657</v>
      </c>
      <c r="T89" s="3">
        <f>ROUND(IF(L89="",AVERAGE(L:L),L89)+IF(M89="",AVERAGE(M:M),M89)+IF(N89="",AVERAGE(N:N),N89)+IF(O89="",AVERAGE(O:O),O89)+IF(P89="",AVERAGE(P:P),P89)+IF(Q89="",AVERAGE(Q:Q),Q89)+IF(R89="",AVERAGE(R:R),R89)+IF(S89="",AVERAGE(S:S),S89), 4-(1+INT(LOG10(ABS(IF(L89="",AVERAGE(L:L),L89)+IF(M89="",AVERAGE(M:M),M89)+IF(N89="",AVERAGE(N:N),N89)+IF(O89="",AVERAGE(O:O),O89)+IF(P89="",AVERAGE(P:P),P89)+IF(Q89="",AVERAGE(Q:Q),Q89)+IF(R89="",AVERAGE(R:R),R89)+IF(S89="",AVERAGE(S:S),S89))))))</f>
        <v>2203</v>
      </c>
    </row>
    <row r="90" spans="1:20" x14ac:dyDescent="0.3">
      <c r="A90" s="1">
        <v>45890.957233796296</v>
      </c>
      <c r="B90">
        <v>1755831505</v>
      </c>
      <c r="C90">
        <v>2.4166599999999998</v>
      </c>
      <c r="E90">
        <v>3.55</v>
      </c>
      <c r="F90">
        <v>2.6666599999999998</v>
      </c>
      <c r="G90">
        <v>0.68332999999999999</v>
      </c>
      <c r="H90">
        <v>5.2166600000000001</v>
      </c>
      <c r="I90">
        <v>3.3166600000000002</v>
      </c>
      <c r="J90">
        <v>11.65</v>
      </c>
      <c r="L90">
        <f>IF(C90="","",C90*60)</f>
        <v>144.99959999999999</v>
      </c>
      <c r="M90" t="str">
        <f>IF(D90="","",D90*60)</f>
        <v/>
      </c>
      <c r="N90">
        <f>IF(E90="","",E90*60)</f>
        <v>213</v>
      </c>
      <c r="O90">
        <f>IF(F90="","",F90*60)</f>
        <v>159.99959999999999</v>
      </c>
      <c r="P90">
        <f>IF(G90="","",G90*60)</f>
        <v>40.9998</v>
      </c>
      <c r="Q90">
        <f>IF(H90="","",H90*60)</f>
        <v>312.99959999999999</v>
      </c>
      <c r="R90">
        <f>IF(I90="","",I90*60)</f>
        <v>198.99960000000002</v>
      </c>
      <c r="S90">
        <f>IF(J90="","",J90*60)</f>
        <v>699</v>
      </c>
      <c r="T90" s="3">
        <f>ROUND(IF(L90="",AVERAGE(L:L),L90)+IF(M90="",AVERAGE(M:M),M90)+IF(N90="",AVERAGE(N:N),N90)+IF(O90="",AVERAGE(O:O),O90)+IF(P90="",AVERAGE(P:P),P90)+IF(Q90="",AVERAGE(Q:Q),Q90)+IF(R90="",AVERAGE(R:R),R90)+IF(S90="",AVERAGE(S:S),S90), 4-(1+INT(LOG10(ABS(IF(L90="",AVERAGE(L:L),L90)+IF(M90="",AVERAGE(M:M),M90)+IF(N90="",AVERAGE(N:N),N90)+IF(O90="",AVERAGE(O:O),O90)+IF(P90="",AVERAGE(P:P),P90)+IF(Q90="",AVERAGE(Q:Q),Q90)+IF(R90="",AVERAGE(R:R),R90)+IF(S90="",AVERAGE(S:S),S90))))))</f>
        <v>2260</v>
      </c>
    </row>
    <row r="91" spans="1:20" x14ac:dyDescent="0.3">
      <c r="A91" s="1">
        <v>45890.981678240743</v>
      </c>
      <c r="B91">
        <v>1755833617</v>
      </c>
      <c r="C91">
        <v>2.0833300000000001</v>
      </c>
      <c r="E91">
        <v>3.1333299999999999</v>
      </c>
      <c r="F91">
        <v>2.3333300000000001</v>
      </c>
      <c r="G91">
        <v>0.65</v>
      </c>
      <c r="H91">
        <v>5.0999999999999996</v>
      </c>
      <c r="I91">
        <v>3.1833300000000002</v>
      </c>
      <c r="J91">
        <v>10.45</v>
      </c>
      <c r="L91">
        <f>IF(C91="","",C91*60)</f>
        <v>124.99980000000001</v>
      </c>
      <c r="M91" t="str">
        <f>IF(D91="","",D91*60)</f>
        <v/>
      </c>
      <c r="N91">
        <f>IF(E91="","",E91*60)</f>
        <v>187.99979999999999</v>
      </c>
      <c r="O91">
        <f>IF(F91="","",F91*60)</f>
        <v>139.99979999999999</v>
      </c>
      <c r="P91">
        <f>IF(G91="","",G91*60)</f>
        <v>39</v>
      </c>
      <c r="Q91">
        <f>IF(H91="","",H91*60)</f>
        <v>306</v>
      </c>
      <c r="R91">
        <f>IF(I91="","",I91*60)</f>
        <v>190.99980000000002</v>
      </c>
      <c r="S91">
        <f>IF(J91="","",J91*60)</f>
        <v>627</v>
      </c>
      <c r="T91" s="3">
        <f>ROUND(IF(L91="",AVERAGE(L:L),L91)+IF(M91="",AVERAGE(M:M),M91)+IF(N91="",AVERAGE(N:N),N91)+IF(O91="",AVERAGE(O:O),O91)+IF(P91="",AVERAGE(P:P),P91)+IF(Q91="",AVERAGE(Q:Q),Q91)+IF(R91="",AVERAGE(R:R),R91)+IF(S91="",AVERAGE(S:S),S91), 4-(1+INT(LOG10(ABS(IF(L91="",AVERAGE(L:L),L91)+IF(M91="",AVERAGE(M:M),M91)+IF(N91="",AVERAGE(N:N),N91)+IF(O91="",AVERAGE(O:O),O91)+IF(P91="",AVERAGE(P:P),P91)+IF(Q91="",AVERAGE(Q:Q),Q91)+IF(R91="",AVERAGE(R:R),R91)+IF(S91="",AVERAGE(S:S),S91))))))</f>
        <v>2106</v>
      </c>
    </row>
    <row r="92" spans="1:20" x14ac:dyDescent="0.3">
      <c r="A92" s="1">
        <v>45891.005393518521</v>
      </c>
      <c r="B92">
        <v>1755835666</v>
      </c>
      <c r="C92">
        <v>2.0833300000000001</v>
      </c>
      <c r="E92">
        <v>3.11666</v>
      </c>
      <c r="F92">
        <v>2.23333</v>
      </c>
      <c r="G92">
        <v>0.65</v>
      </c>
      <c r="H92">
        <v>5.0333300000000003</v>
      </c>
      <c r="I92">
        <v>3.15</v>
      </c>
      <c r="J92">
        <v>10.55</v>
      </c>
      <c r="L92">
        <f>IF(C92="","",C92*60)</f>
        <v>124.99980000000001</v>
      </c>
      <c r="M92" t="str">
        <f>IF(D92="","",D92*60)</f>
        <v/>
      </c>
      <c r="N92">
        <f>IF(E92="","",E92*60)</f>
        <v>186.99959999999999</v>
      </c>
      <c r="O92">
        <f>IF(F92="","",F92*60)</f>
        <v>133.99979999999999</v>
      </c>
      <c r="P92">
        <f>IF(G92="","",G92*60)</f>
        <v>39</v>
      </c>
      <c r="Q92">
        <f>IF(H92="","",H92*60)</f>
        <v>301.99979999999999</v>
      </c>
      <c r="R92">
        <f>IF(I92="","",I92*60)</f>
        <v>189</v>
      </c>
      <c r="S92">
        <f>IF(J92="","",J92*60)</f>
        <v>633</v>
      </c>
      <c r="T92" s="3">
        <f>ROUND(IF(L92="",AVERAGE(L:L),L92)+IF(M92="",AVERAGE(M:M),M92)+IF(N92="",AVERAGE(N:N),N92)+IF(O92="",AVERAGE(O:O),O92)+IF(P92="",AVERAGE(P:P),P92)+IF(Q92="",AVERAGE(Q:Q),Q92)+IF(R92="",AVERAGE(R:R),R92)+IF(S92="",AVERAGE(S:S),S92), 4-(1+INT(LOG10(ABS(IF(L92="",AVERAGE(L:L),L92)+IF(M92="",AVERAGE(M:M),M92)+IF(N92="",AVERAGE(N:N),N92)+IF(O92="",AVERAGE(O:O),O92)+IF(P92="",AVERAGE(P:P),P92)+IF(Q92="",AVERAGE(Q:Q),Q92)+IF(R92="",AVERAGE(R:R),R92)+IF(S92="",AVERAGE(S:S),S92))))))</f>
        <v>2099</v>
      </c>
    </row>
    <row r="93" spans="1:20" x14ac:dyDescent="0.3">
      <c r="A93" s="1">
        <v>45891.032256944447</v>
      </c>
      <c r="B93">
        <v>1755837987</v>
      </c>
      <c r="C93">
        <v>2.0499999999999998</v>
      </c>
      <c r="E93">
        <v>3.11666</v>
      </c>
      <c r="F93">
        <v>1.86666</v>
      </c>
      <c r="G93">
        <v>0.65</v>
      </c>
      <c r="H93">
        <v>5.3666600000000004</v>
      </c>
      <c r="I93">
        <v>3.2833299999999999</v>
      </c>
      <c r="J93">
        <v>10.883330000000001</v>
      </c>
      <c r="L93">
        <f>IF(C93="","",C93*60)</f>
        <v>122.99999999999999</v>
      </c>
      <c r="M93" t="str">
        <f>IF(D93="","",D93*60)</f>
        <v/>
      </c>
      <c r="N93">
        <f>IF(E93="","",E93*60)</f>
        <v>186.99959999999999</v>
      </c>
      <c r="O93">
        <f>IF(F93="","",F93*60)</f>
        <v>111.9996</v>
      </c>
      <c r="P93">
        <f>IF(G93="","",G93*60)</f>
        <v>39</v>
      </c>
      <c r="Q93">
        <f>IF(H93="","",H93*60)</f>
        <v>321.99960000000004</v>
      </c>
      <c r="R93">
        <f>IF(I93="","",I93*60)</f>
        <v>196.99979999999999</v>
      </c>
      <c r="S93">
        <f>IF(J93="","",J93*60)</f>
        <v>652.99980000000005</v>
      </c>
      <c r="T93" s="3">
        <f>ROUND(IF(L93="",AVERAGE(L:L),L93)+IF(M93="",AVERAGE(M:M),M93)+IF(N93="",AVERAGE(N:N),N93)+IF(O93="",AVERAGE(O:O),O93)+IF(P93="",AVERAGE(P:P),P93)+IF(Q93="",AVERAGE(Q:Q),Q93)+IF(R93="",AVERAGE(R:R),R93)+IF(S93="",AVERAGE(S:S),S93), 4-(1+INT(LOG10(ABS(IF(L93="",AVERAGE(L:L),L93)+IF(M93="",AVERAGE(M:M),M93)+IF(N93="",AVERAGE(N:N),N93)+IF(O93="",AVERAGE(O:O),O93)+IF(P93="",AVERAGE(P:P),P93)+IF(Q93="",AVERAGE(Q:Q),Q93)+IF(R93="",AVERAGE(R:R),R93)+IF(S93="",AVERAGE(S:S),S93))))))</f>
        <v>2123</v>
      </c>
    </row>
    <row r="94" spans="1:20" x14ac:dyDescent="0.3">
      <c r="A94" s="1">
        <v>45891.055601851855</v>
      </c>
      <c r="B94">
        <v>1755840004</v>
      </c>
      <c r="C94">
        <v>2.0166599999999999</v>
      </c>
      <c r="E94">
        <v>3.1</v>
      </c>
      <c r="F94">
        <v>2.23333</v>
      </c>
      <c r="G94">
        <v>0.66666000000000003</v>
      </c>
      <c r="H94">
        <v>5.25</v>
      </c>
      <c r="I94">
        <v>3.2833299999999999</v>
      </c>
      <c r="J94">
        <v>10.33333</v>
      </c>
      <c r="L94">
        <f>IF(C94="","",C94*60)</f>
        <v>120.99959999999999</v>
      </c>
      <c r="M94" t="str">
        <f>IF(D94="","",D94*60)</f>
        <v/>
      </c>
      <c r="N94">
        <f>IF(E94="","",E94*60)</f>
        <v>186</v>
      </c>
      <c r="O94">
        <f>IF(F94="","",F94*60)</f>
        <v>133.99979999999999</v>
      </c>
      <c r="P94">
        <f>IF(G94="","",G94*60)</f>
        <v>39.999600000000001</v>
      </c>
      <c r="Q94">
        <f>IF(H94="","",H94*60)</f>
        <v>315</v>
      </c>
      <c r="R94">
        <f>IF(I94="","",I94*60)</f>
        <v>196.99979999999999</v>
      </c>
      <c r="S94">
        <f>IF(J94="","",J94*60)</f>
        <v>619.99980000000005</v>
      </c>
      <c r="T94" s="3">
        <f>ROUND(IF(L94="",AVERAGE(L:L),L94)+IF(M94="",AVERAGE(M:M),M94)+IF(N94="",AVERAGE(N:N),N94)+IF(O94="",AVERAGE(O:O),O94)+IF(P94="",AVERAGE(P:P),P94)+IF(Q94="",AVERAGE(Q:Q),Q94)+IF(R94="",AVERAGE(R:R),R94)+IF(S94="",AVERAGE(S:S),S94), 4-(1+INT(LOG10(ABS(IF(L94="",AVERAGE(L:L),L94)+IF(M94="",AVERAGE(M:M),M94)+IF(N94="",AVERAGE(N:N),N94)+IF(O94="",AVERAGE(O:O),O94)+IF(P94="",AVERAGE(P:P),P94)+IF(Q94="",AVERAGE(Q:Q),Q94)+IF(R94="",AVERAGE(R:R),R94)+IF(S94="",AVERAGE(S:S),S94))))))</f>
        <v>2103</v>
      </c>
    </row>
    <row r="95" spans="1:20" x14ac:dyDescent="0.3">
      <c r="A95" s="1">
        <v>45891.079328703701</v>
      </c>
      <c r="B95">
        <v>1755842054</v>
      </c>
      <c r="C95">
        <v>2.2000000000000002</v>
      </c>
      <c r="E95">
        <v>2.75</v>
      </c>
      <c r="F95">
        <v>2.25</v>
      </c>
      <c r="G95">
        <v>0.81666000000000005</v>
      </c>
      <c r="H95">
        <v>5.1666600000000003</v>
      </c>
      <c r="I95">
        <v>3.23333</v>
      </c>
      <c r="J95">
        <v>11.1</v>
      </c>
      <c r="L95">
        <f>IF(C95="","",C95*60)</f>
        <v>132</v>
      </c>
      <c r="M95" t="str">
        <f>IF(D95="","",D95*60)</f>
        <v/>
      </c>
      <c r="N95">
        <f>IF(E95="","",E95*60)</f>
        <v>165</v>
      </c>
      <c r="O95">
        <f>IF(F95="","",F95*60)</f>
        <v>135</v>
      </c>
      <c r="P95">
        <f>IF(G95="","",G95*60)</f>
        <v>48.999600000000001</v>
      </c>
      <c r="Q95">
        <f>IF(H95="","",H95*60)</f>
        <v>309.99959999999999</v>
      </c>
      <c r="R95">
        <f>IF(I95="","",I95*60)</f>
        <v>193.99979999999999</v>
      </c>
      <c r="S95">
        <f>IF(J95="","",J95*60)</f>
        <v>666</v>
      </c>
      <c r="T95" s="3">
        <f>ROUND(IF(L95="",AVERAGE(L:L),L95)+IF(M95="",AVERAGE(M:M),M95)+IF(N95="",AVERAGE(N:N),N95)+IF(O95="",AVERAGE(O:O),O95)+IF(P95="",AVERAGE(P:P),P95)+IF(Q95="",AVERAGE(Q:Q),Q95)+IF(R95="",AVERAGE(R:R),R95)+IF(S95="",AVERAGE(S:S),S95), 4-(1+INT(LOG10(ABS(IF(L95="",AVERAGE(L:L),L95)+IF(M95="",AVERAGE(M:M),M95)+IF(N95="",AVERAGE(N:N),N95)+IF(O95="",AVERAGE(O:O),O95)+IF(P95="",AVERAGE(P:P),P95)+IF(Q95="",AVERAGE(Q:Q),Q95)+IF(R95="",AVERAGE(R:R),R95)+IF(S95="",AVERAGE(S:S),S95))))))</f>
        <v>2141</v>
      </c>
    </row>
    <row r="96" spans="1:20" x14ac:dyDescent="0.3">
      <c r="A96" s="1">
        <v>45891.10365740741</v>
      </c>
      <c r="B96">
        <v>1755844156</v>
      </c>
      <c r="C96">
        <v>1.98333</v>
      </c>
      <c r="E96">
        <v>3.23333</v>
      </c>
      <c r="F96">
        <v>2.4</v>
      </c>
      <c r="G96">
        <v>0.68332999999999999</v>
      </c>
      <c r="H96">
        <v>5.15</v>
      </c>
      <c r="I96">
        <v>3.2166600000000001</v>
      </c>
      <c r="J96">
        <v>10.51666</v>
      </c>
      <c r="L96">
        <f>IF(C96="","",C96*60)</f>
        <v>118.99980000000001</v>
      </c>
      <c r="M96" t="str">
        <f>IF(D96="","",D96*60)</f>
        <v/>
      </c>
      <c r="N96">
        <f>IF(E96="","",E96*60)</f>
        <v>193.99979999999999</v>
      </c>
      <c r="O96">
        <f>IF(F96="","",F96*60)</f>
        <v>144</v>
      </c>
      <c r="P96">
        <f>IF(G96="","",G96*60)</f>
        <v>40.9998</v>
      </c>
      <c r="Q96">
        <f>IF(H96="","",H96*60)</f>
        <v>309</v>
      </c>
      <c r="R96">
        <f>IF(I96="","",I96*60)</f>
        <v>192.99960000000002</v>
      </c>
      <c r="S96">
        <f>IF(J96="","",J96*60)</f>
        <v>630.99959999999999</v>
      </c>
      <c r="T96" s="3">
        <f>ROUND(IF(L96="",AVERAGE(L:L),L96)+IF(M96="",AVERAGE(M:M),M96)+IF(N96="",AVERAGE(N:N),N96)+IF(O96="",AVERAGE(O:O),O96)+IF(P96="",AVERAGE(P:P),P96)+IF(Q96="",AVERAGE(Q:Q),Q96)+IF(R96="",AVERAGE(R:R),R96)+IF(S96="",AVERAGE(S:S),S96), 4-(1+INT(LOG10(ABS(IF(L96="",AVERAGE(L:L),L96)+IF(M96="",AVERAGE(M:M),M96)+IF(N96="",AVERAGE(N:N),N96)+IF(O96="",AVERAGE(O:O),O96)+IF(P96="",AVERAGE(P:P),P96)+IF(Q96="",AVERAGE(Q:Q),Q96)+IF(R96="",AVERAGE(R:R),R96)+IF(S96="",AVERAGE(S:S),S96))))))</f>
        <v>2121</v>
      </c>
    </row>
    <row r="97" spans="1:20" x14ac:dyDescent="0.3">
      <c r="A97" s="1">
        <v>45891.129247685189</v>
      </c>
      <c r="B97">
        <v>1755846367</v>
      </c>
      <c r="C97">
        <v>2.11666</v>
      </c>
      <c r="E97">
        <v>3.2666599999999999</v>
      </c>
      <c r="F97">
        <v>2.3333300000000001</v>
      </c>
      <c r="G97">
        <v>0.66666000000000003</v>
      </c>
      <c r="H97">
        <v>5.0666599999999997</v>
      </c>
      <c r="I97">
        <v>3.23333</v>
      </c>
      <c r="J97">
        <v>11</v>
      </c>
      <c r="L97">
        <f>IF(C97="","",C97*60)</f>
        <v>126.9996</v>
      </c>
      <c r="M97" t="str">
        <f>IF(D97="","",D97*60)</f>
        <v/>
      </c>
      <c r="N97">
        <f>IF(E97="","",E97*60)</f>
        <v>195.99959999999999</v>
      </c>
      <c r="O97">
        <f>IF(F97="","",F97*60)</f>
        <v>139.99979999999999</v>
      </c>
      <c r="P97">
        <f>IF(G97="","",G97*60)</f>
        <v>39.999600000000001</v>
      </c>
      <c r="Q97">
        <f>IF(H97="","",H97*60)</f>
        <v>303.99959999999999</v>
      </c>
      <c r="R97">
        <f>IF(I97="","",I97*60)</f>
        <v>193.99979999999999</v>
      </c>
      <c r="S97">
        <f>IF(J97="","",J97*60)</f>
        <v>660</v>
      </c>
      <c r="T97" s="3">
        <f>ROUND(IF(L97="",AVERAGE(L:L),L97)+IF(M97="",AVERAGE(M:M),M97)+IF(N97="",AVERAGE(N:N),N97)+IF(O97="",AVERAGE(O:O),O97)+IF(P97="",AVERAGE(P:P),P97)+IF(Q97="",AVERAGE(Q:Q),Q97)+IF(R97="",AVERAGE(R:R),R97)+IF(S97="",AVERAGE(S:S),S97), 4-(1+INT(LOG10(ABS(IF(L97="",AVERAGE(L:L),L97)+IF(M97="",AVERAGE(M:M),M97)+IF(N97="",AVERAGE(N:N),N97)+IF(O97="",AVERAGE(O:O),O97)+IF(P97="",AVERAGE(P:P),P97)+IF(Q97="",AVERAGE(Q:Q),Q97)+IF(R97="",AVERAGE(R:R),R97)+IF(S97="",AVERAGE(S:S),S97))))))</f>
        <v>2151</v>
      </c>
    </row>
    <row r="98" spans="1:20" x14ac:dyDescent="0.3">
      <c r="A98" s="1">
        <v>45891.153379629628</v>
      </c>
      <c r="B98">
        <v>1755848452</v>
      </c>
      <c r="C98">
        <v>2.4333300000000002</v>
      </c>
      <c r="E98">
        <v>3.23333</v>
      </c>
      <c r="F98">
        <v>2.25</v>
      </c>
      <c r="G98">
        <v>0.66666000000000003</v>
      </c>
      <c r="H98">
        <v>5.2833300000000003</v>
      </c>
      <c r="I98">
        <v>3.2833299999999999</v>
      </c>
      <c r="J98">
        <v>10.41666</v>
      </c>
      <c r="L98">
        <f>IF(C98="","",C98*60)</f>
        <v>145.99980000000002</v>
      </c>
      <c r="M98" t="str">
        <f>IF(D98="","",D98*60)</f>
        <v/>
      </c>
      <c r="N98">
        <f>IF(E98="","",E98*60)</f>
        <v>193.99979999999999</v>
      </c>
      <c r="O98">
        <f>IF(F98="","",F98*60)</f>
        <v>135</v>
      </c>
      <c r="P98">
        <f>IF(G98="","",G98*60)</f>
        <v>39.999600000000001</v>
      </c>
      <c r="Q98">
        <f>IF(H98="","",H98*60)</f>
        <v>316.99979999999999</v>
      </c>
      <c r="R98">
        <f>IF(I98="","",I98*60)</f>
        <v>196.99979999999999</v>
      </c>
      <c r="S98">
        <f>IF(J98="","",J98*60)</f>
        <v>624.99959999999999</v>
      </c>
      <c r="T98" s="3">
        <f>ROUND(IF(L98="",AVERAGE(L:L),L98)+IF(M98="",AVERAGE(M:M),M98)+IF(N98="",AVERAGE(N:N),N98)+IF(O98="",AVERAGE(O:O),O98)+IF(P98="",AVERAGE(P:P),P98)+IF(Q98="",AVERAGE(Q:Q),Q98)+IF(R98="",AVERAGE(R:R),R98)+IF(S98="",AVERAGE(S:S),S98), 4-(1+INT(LOG10(ABS(IF(L98="",AVERAGE(L:L),L98)+IF(M98="",AVERAGE(M:M),M98)+IF(N98="",AVERAGE(N:N),N98)+IF(O98="",AVERAGE(O:O),O98)+IF(P98="",AVERAGE(P:P),P98)+IF(Q98="",AVERAGE(Q:Q),Q98)+IF(R98="",AVERAGE(R:R),R98)+IF(S98="",AVERAGE(S:S),S98))))))</f>
        <v>2144</v>
      </c>
    </row>
    <row r="99" spans="1:20" x14ac:dyDescent="0.3">
      <c r="A99" s="1">
        <v>45891.177824074075</v>
      </c>
      <c r="B99">
        <v>1755850564</v>
      </c>
      <c r="C99">
        <v>2.3166600000000002</v>
      </c>
      <c r="E99">
        <v>3.6</v>
      </c>
      <c r="F99">
        <v>2.5499999999999998</v>
      </c>
      <c r="G99">
        <v>0.71665999999999996</v>
      </c>
      <c r="H99">
        <v>5.0666599999999997</v>
      </c>
      <c r="I99">
        <v>3.2166600000000001</v>
      </c>
      <c r="J99">
        <v>10.45</v>
      </c>
      <c r="L99">
        <f>IF(C99="","",C99*60)</f>
        <v>138.99960000000002</v>
      </c>
      <c r="M99" t="str">
        <f>IF(D99="","",D99*60)</f>
        <v/>
      </c>
      <c r="N99">
        <f>IF(E99="","",E99*60)</f>
        <v>216</v>
      </c>
      <c r="O99">
        <f>IF(F99="","",F99*60)</f>
        <v>153</v>
      </c>
      <c r="P99">
        <f>IF(G99="","",G99*60)</f>
        <v>42.999600000000001</v>
      </c>
      <c r="Q99">
        <f>IF(H99="","",H99*60)</f>
        <v>303.99959999999999</v>
      </c>
      <c r="R99">
        <f>IF(I99="","",I99*60)</f>
        <v>192.99960000000002</v>
      </c>
      <c r="S99">
        <f>IF(J99="","",J99*60)</f>
        <v>627</v>
      </c>
      <c r="T99" s="3">
        <f>ROUND(IF(L99="",AVERAGE(L:L),L99)+IF(M99="",AVERAGE(M:M),M99)+IF(N99="",AVERAGE(N:N),N99)+IF(O99="",AVERAGE(O:O),O99)+IF(P99="",AVERAGE(P:P),P99)+IF(Q99="",AVERAGE(Q:Q),Q99)+IF(R99="",AVERAGE(R:R),R99)+IF(S99="",AVERAGE(S:S),S99), 4-(1+INT(LOG10(ABS(IF(L99="",AVERAGE(L:L),L99)+IF(M99="",AVERAGE(M:M),M99)+IF(N99="",AVERAGE(N:N),N99)+IF(O99="",AVERAGE(O:O),O99)+IF(P99="",AVERAGE(P:P),P99)+IF(Q99="",AVERAGE(Q:Q),Q99)+IF(R99="",AVERAGE(R:R),R99)+IF(S99="",AVERAGE(S:S),S99))))))</f>
        <v>2165</v>
      </c>
    </row>
    <row r="100" spans="1:20" x14ac:dyDescent="0.3">
      <c r="A100" s="1">
        <v>45891.202187499999</v>
      </c>
      <c r="B100">
        <v>1755852669</v>
      </c>
      <c r="C100">
        <v>2.0333299999999999</v>
      </c>
      <c r="E100">
        <v>3.1</v>
      </c>
      <c r="F100">
        <v>2.23333</v>
      </c>
      <c r="G100">
        <v>0.66666000000000003</v>
      </c>
      <c r="H100">
        <v>5.6166600000000004</v>
      </c>
      <c r="I100">
        <v>3.1833300000000002</v>
      </c>
      <c r="J100">
        <v>10.633330000000001</v>
      </c>
      <c r="L100">
        <f>IF(C100="","",C100*60)</f>
        <v>121.99979999999999</v>
      </c>
      <c r="M100" t="str">
        <f>IF(D100="","",D100*60)</f>
        <v/>
      </c>
      <c r="N100">
        <f>IF(E100="","",E100*60)</f>
        <v>186</v>
      </c>
      <c r="O100">
        <f>IF(F100="","",F100*60)</f>
        <v>133.99979999999999</v>
      </c>
      <c r="P100">
        <f>IF(G100="","",G100*60)</f>
        <v>39.999600000000001</v>
      </c>
      <c r="Q100">
        <f>IF(H100="","",H100*60)</f>
        <v>336.99960000000004</v>
      </c>
      <c r="R100">
        <f>IF(I100="","",I100*60)</f>
        <v>190.99980000000002</v>
      </c>
      <c r="S100">
        <f>IF(J100="","",J100*60)</f>
        <v>637.99980000000005</v>
      </c>
      <c r="T100" s="3">
        <f>ROUND(IF(L100="",AVERAGE(L:L),L100)+IF(M100="",AVERAGE(M:M),M100)+IF(N100="",AVERAGE(N:N),N100)+IF(O100="",AVERAGE(O:O),O100)+IF(P100="",AVERAGE(P:P),P100)+IF(Q100="",AVERAGE(Q:Q),Q100)+IF(R100="",AVERAGE(R:R),R100)+IF(S100="",AVERAGE(S:S),S100), 4-(1+INT(LOG10(ABS(IF(L100="",AVERAGE(L:L),L100)+IF(M100="",AVERAGE(M:M),M100)+IF(N100="",AVERAGE(N:N),N100)+IF(O100="",AVERAGE(O:O),O100)+IF(P100="",AVERAGE(P:P),P100)+IF(Q100="",AVERAGE(Q:Q),Q100)+IF(R100="",AVERAGE(R:R),R100)+IF(S100="",AVERAGE(S:S),S100))))))</f>
        <v>2138</v>
      </c>
    </row>
    <row r="101" spans="1:20" x14ac:dyDescent="0.3">
      <c r="A101" s="1">
        <v>45891.227187500001</v>
      </c>
      <c r="B101">
        <v>1755854829</v>
      </c>
      <c r="C101">
        <v>2.3333300000000001</v>
      </c>
      <c r="E101">
        <v>3.3333300000000001</v>
      </c>
      <c r="F101">
        <v>2.5333299999999999</v>
      </c>
      <c r="G101">
        <v>0.65</v>
      </c>
      <c r="H101">
        <v>5.55</v>
      </c>
      <c r="I101">
        <v>3.4166599999999998</v>
      </c>
      <c r="J101">
        <v>10.9</v>
      </c>
      <c r="L101">
        <f>IF(C101="","",C101*60)</f>
        <v>139.99979999999999</v>
      </c>
      <c r="M101" t="str">
        <f>IF(D101="","",D101*60)</f>
        <v/>
      </c>
      <c r="N101">
        <f>IF(E101="","",E101*60)</f>
        <v>199.99979999999999</v>
      </c>
      <c r="O101">
        <f>IF(F101="","",F101*60)</f>
        <v>151.99979999999999</v>
      </c>
      <c r="P101">
        <f>IF(G101="","",G101*60)</f>
        <v>39</v>
      </c>
      <c r="Q101">
        <f>IF(H101="","",H101*60)</f>
        <v>333</v>
      </c>
      <c r="R101">
        <f>IF(I101="","",I101*60)</f>
        <v>204.99959999999999</v>
      </c>
      <c r="S101">
        <f>IF(J101="","",J101*60)</f>
        <v>654</v>
      </c>
      <c r="T101" s="3">
        <f>ROUND(IF(L101="",AVERAGE(L:L),L101)+IF(M101="",AVERAGE(M:M),M101)+IF(N101="",AVERAGE(N:N),N101)+IF(O101="",AVERAGE(O:O),O101)+IF(P101="",AVERAGE(P:P),P101)+IF(Q101="",AVERAGE(Q:Q),Q101)+IF(R101="",AVERAGE(R:R),R101)+IF(S101="",AVERAGE(S:S),S101), 4-(1+INT(LOG10(ABS(IF(L101="",AVERAGE(L:L),L101)+IF(M101="",AVERAGE(M:M),M101)+IF(N101="",AVERAGE(N:N),N101)+IF(O101="",AVERAGE(O:O),O101)+IF(P101="",AVERAGE(P:P),P101)+IF(Q101="",AVERAGE(Q:Q),Q101)+IF(R101="",AVERAGE(R:R),R101)+IF(S101="",AVERAGE(S:S),S101))))))</f>
        <v>2213</v>
      </c>
    </row>
    <row r="102" spans="1:20" x14ac:dyDescent="0.3">
      <c r="A102" s="1">
        <v>45891.251192129632</v>
      </c>
      <c r="B102">
        <v>1755856903</v>
      </c>
      <c r="C102">
        <v>2.11666</v>
      </c>
      <c r="E102">
        <v>3.6666599999999998</v>
      </c>
      <c r="F102">
        <v>2.4</v>
      </c>
      <c r="G102">
        <v>0.66666000000000003</v>
      </c>
      <c r="H102">
        <v>5.2166600000000001</v>
      </c>
      <c r="I102">
        <v>3.3</v>
      </c>
      <c r="J102">
        <v>10.216659999999999</v>
      </c>
      <c r="L102">
        <f>IF(C102="","",C102*60)</f>
        <v>126.9996</v>
      </c>
      <c r="M102" t="str">
        <f>IF(D102="","",D102*60)</f>
        <v/>
      </c>
      <c r="N102">
        <f>IF(E102="","",E102*60)</f>
        <v>219.99959999999999</v>
      </c>
      <c r="O102">
        <f>IF(F102="","",F102*60)</f>
        <v>144</v>
      </c>
      <c r="P102">
        <f>IF(G102="","",G102*60)</f>
        <v>39.999600000000001</v>
      </c>
      <c r="Q102">
        <f>IF(H102="","",H102*60)</f>
        <v>312.99959999999999</v>
      </c>
      <c r="R102">
        <f>IF(I102="","",I102*60)</f>
        <v>198</v>
      </c>
      <c r="S102">
        <f>IF(J102="","",J102*60)</f>
        <v>612.99959999999999</v>
      </c>
      <c r="T102" s="3">
        <f>ROUND(IF(L102="",AVERAGE(L:L),L102)+IF(M102="",AVERAGE(M:M),M102)+IF(N102="",AVERAGE(N:N),N102)+IF(O102="",AVERAGE(O:O),O102)+IF(P102="",AVERAGE(P:P),P102)+IF(Q102="",AVERAGE(Q:Q),Q102)+IF(R102="",AVERAGE(R:R),R102)+IF(S102="",AVERAGE(S:S),S102), 4-(1+INT(LOG10(ABS(IF(L102="",AVERAGE(L:L),L102)+IF(M102="",AVERAGE(M:M),M102)+IF(N102="",AVERAGE(N:N),N102)+IF(O102="",AVERAGE(O:O),O102)+IF(P102="",AVERAGE(P:P),P102)+IF(Q102="",AVERAGE(Q:Q),Q102)+IF(R102="",AVERAGE(R:R),R102)+IF(S102="",AVERAGE(S:S),S102))))))</f>
        <v>2145</v>
      </c>
    </row>
    <row r="103" spans="1:20" x14ac:dyDescent="0.3">
      <c r="A103" s="1">
        <v>45891.27579861111</v>
      </c>
      <c r="B103">
        <v>1755859029</v>
      </c>
      <c r="C103">
        <v>2.0166599999999999</v>
      </c>
      <c r="E103">
        <v>3.11666</v>
      </c>
      <c r="F103">
        <v>3.3833299999999999</v>
      </c>
      <c r="G103">
        <v>1.25</v>
      </c>
      <c r="H103">
        <v>5.1166600000000004</v>
      </c>
      <c r="I103">
        <v>3.2</v>
      </c>
      <c r="J103">
        <v>10.51666</v>
      </c>
      <c r="L103">
        <f>IF(C103="","",C103*60)</f>
        <v>120.99959999999999</v>
      </c>
      <c r="M103" t="str">
        <f>IF(D103="","",D103*60)</f>
        <v/>
      </c>
      <c r="N103">
        <f>IF(E103="","",E103*60)</f>
        <v>186.99959999999999</v>
      </c>
      <c r="O103">
        <f>IF(F103="","",F103*60)</f>
        <v>202.99979999999999</v>
      </c>
      <c r="P103">
        <f>IF(G103="","",G103*60)</f>
        <v>75</v>
      </c>
      <c r="Q103">
        <f>IF(H103="","",H103*60)</f>
        <v>306.99960000000004</v>
      </c>
      <c r="R103">
        <f>IF(I103="","",I103*60)</f>
        <v>192</v>
      </c>
      <c r="S103">
        <f>IF(J103="","",J103*60)</f>
        <v>630.99959999999999</v>
      </c>
      <c r="T103" s="3">
        <f>ROUND(IF(L103="",AVERAGE(L:L),L103)+IF(M103="",AVERAGE(M:M),M103)+IF(N103="",AVERAGE(N:N),N103)+IF(O103="",AVERAGE(O:O),O103)+IF(P103="",AVERAGE(P:P),P103)+IF(Q103="",AVERAGE(Q:Q),Q103)+IF(R103="",AVERAGE(R:R),R103)+IF(S103="",AVERAGE(S:S),S103), 4-(1+INT(LOG10(ABS(IF(L103="",AVERAGE(L:L),L103)+IF(M103="",AVERAGE(M:M),M103)+IF(N103="",AVERAGE(N:N),N103)+IF(O103="",AVERAGE(O:O),O103)+IF(P103="",AVERAGE(P:P),P103)+IF(Q103="",AVERAGE(Q:Q),Q103)+IF(R103="",AVERAGE(R:R),R103)+IF(S103="",AVERAGE(S:S),S103))))))</f>
        <v>2206</v>
      </c>
    </row>
    <row r="104" spans="1:20" x14ac:dyDescent="0.3">
      <c r="A104" s="1">
        <v>45891.298645833333</v>
      </c>
      <c r="B104">
        <v>1755861003</v>
      </c>
      <c r="C104">
        <v>2.0333299999999999</v>
      </c>
      <c r="E104">
        <v>3.1</v>
      </c>
      <c r="F104">
        <v>2.23333</v>
      </c>
      <c r="G104">
        <v>0.66666000000000003</v>
      </c>
      <c r="H104">
        <v>5.0999999999999996</v>
      </c>
      <c r="I104">
        <v>3.1833300000000002</v>
      </c>
      <c r="J104">
        <v>9.65</v>
      </c>
      <c r="L104">
        <f>IF(C104="","",C104*60)</f>
        <v>121.99979999999999</v>
      </c>
      <c r="M104" t="str">
        <f>IF(D104="","",D104*60)</f>
        <v/>
      </c>
      <c r="N104">
        <f>IF(E104="","",E104*60)</f>
        <v>186</v>
      </c>
      <c r="O104">
        <f>IF(F104="","",F104*60)</f>
        <v>133.99979999999999</v>
      </c>
      <c r="P104">
        <f>IF(G104="","",G104*60)</f>
        <v>39.999600000000001</v>
      </c>
      <c r="Q104">
        <f>IF(H104="","",H104*60)</f>
        <v>306</v>
      </c>
      <c r="R104">
        <f>IF(I104="","",I104*60)</f>
        <v>190.99980000000002</v>
      </c>
      <c r="S104">
        <f>IF(J104="","",J104*60)</f>
        <v>579</v>
      </c>
      <c r="T104" s="3">
        <f>ROUND(IF(L104="",AVERAGE(L:L),L104)+IF(M104="",AVERAGE(M:M),M104)+IF(N104="",AVERAGE(N:N),N104)+IF(O104="",AVERAGE(O:O),O104)+IF(P104="",AVERAGE(P:P),P104)+IF(Q104="",AVERAGE(Q:Q),Q104)+IF(R104="",AVERAGE(R:R),R104)+IF(S104="",AVERAGE(S:S),S104), 4-(1+INT(LOG10(ABS(IF(L104="",AVERAGE(L:L),L104)+IF(M104="",AVERAGE(M:M),M104)+IF(N104="",AVERAGE(N:N),N104)+IF(O104="",AVERAGE(O:O),O104)+IF(P104="",AVERAGE(P:P),P104)+IF(Q104="",AVERAGE(Q:Q),Q104)+IF(R104="",AVERAGE(R:R),R104)+IF(S104="",AVERAGE(S:S),S104))))))</f>
        <v>2048</v>
      </c>
    </row>
    <row r="105" spans="1:20" x14ac:dyDescent="0.3">
      <c r="A105" s="1">
        <v>45891.325439814813</v>
      </c>
      <c r="B105">
        <v>1755863318</v>
      </c>
      <c r="C105">
        <v>1.98333</v>
      </c>
      <c r="E105">
        <v>3.25</v>
      </c>
      <c r="F105">
        <v>2.7</v>
      </c>
      <c r="G105">
        <v>0.65</v>
      </c>
      <c r="H105">
        <v>7.3166599999999997</v>
      </c>
      <c r="I105">
        <v>4.8666600000000004</v>
      </c>
      <c r="J105">
        <v>10.133330000000001</v>
      </c>
      <c r="L105">
        <f>IF(C105="","",C105*60)</f>
        <v>118.99980000000001</v>
      </c>
      <c r="M105" t="str">
        <f>IF(D105="","",D105*60)</f>
        <v/>
      </c>
      <c r="N105">
        <f>IF(E105="","",E105*60)</f>
        <v>195</v>
      </c>
      <c r="O105">
        <f>IF(F105="","",F105*60)</f>
        <v>162</v>
      </c>
      <c r="P105">
        <f>IF(G105="","",G105*60)</f>
        <v>39</v>
      </c>
      <c r="Q105">
        <f>IF(H105="","",H105*60)</f>
        <v>438.99959999999999</v>
      </c>
      <c r="R105">
        <f>IF(I105="","",I105*60)</f>
        <v>291.99960000000004</v>
      </c>
      <c r="S105">
        <f>IF(J105="","",J105*60)</f>
        <v>607.99980000000005</v>
      </c>
      <c r="T105" s="3">
        <f>ROUND(IF(L105="",AVERAGE(L:L),L105)+IF(M105="",AVERAGE(M:M),M105)+IF(N105="",AVERAGE(N:N),N105)+IF(O105="",AVERAGE(O:O),O105)+IF(P105="",AVERAGE(P:P),P105)+IF(Q105="",AVERAGE(Q:Q),Q105)+IF(R105="",AVERAGE(R:R),R105)+IF(S105="",AVERAGE(S:S),S105), 4-(1+INT(LOG10(ABS(IF(L105="",AVERAGE(L:L),L105)+IF(M105="",AVERAGE(M:M),M105)+IF(N105="",AVERAGE(N:N),N105)+IF(O105="",AVERAGE(O:O),O105)+IF(P105="",AVERAGE(P:P),P105)+IF(Q105="",AVERAGE(Q:Q),Q105)+IF(R105="",AVERAGE(R:R),R105)+IF(S105="",AVERAGE(S:S),S105))))))</f>
        <v>2344</v>
      </c>
    </row>
    <row r="106" spans="1:20" x14ac:dyDescent="0.3">
      <c r="A106" s="1">
        <v>45891.353587962964</v>
      </c>
      <c r="B106">
        <v>1755865750</v>
      </c>
      <c r="E106">
        <v>3.11666</v>
      </c>
      <c r="F106">
        <v>2.25</v>
      </c>
      <c r="H106">
        <v>7.3333300000000001</v>
      </c>
      <c r="I106">
        <v>3.23333</v>
      </c>
      <c r="J106">
        <v>10.199999999999999</v>
      </c>
      <c r="L106" t="str">
        <f>IF(C106="","",C106*60)</f>
        <v/>
      </c>
      <c r="M106" t="str">
        <f>IF(D106="","",D106*60)</f>
        <v/>
      </c>
      <c r="N106">
        <f>IF(E106="","",E106*60)</f>
        <v>186.99959999999999</v>
      </c>
      <c r="O106">
        <f>IF(F106="","",F106*60)</f>
        <v>135</v>
      </c>
      <c r="P106" t="str">
        <f>IF(G106="","",G106*60)</f>
        <v/>
      </c>
      <c r="Q106">
        <f>IF(H106="","",H106*60)</f>
        <v>439.99979999999999</v>
      </c>
      <c r="R106">
        <f>IF(I106="","",I106*60)</f>
        <v>193.99979999999999</v>
      </c>
      <c r="S106">
        <f>IF(J106="","",J106*60)</f>
        <v>612</v>
      </c>
      <c r="T106" s="3">
        <f>ROUND(IF(L106="",AVERAGE(L:L),L106)+IF(M106="",AVERAGE(M:M),M106)+IF(N106="",AVERAGE(N:N),N106)+IF(O106="",AVERAGE(O:O),O106)+IF(P106="",AVERAGE(P:P),P106)+IF(Q106="",AVERAGE(Q:Q),Q106)+IF(R106="",AVERAGE(R:R),R106)+IF(S106="",AVERAGE(S:S),S106), 4-(1+INT(LOG10(ABS(IF(L106="",AVERAGE(L:L),L106)+IF(M106="",AVERAGE(M:M),M106)+IF(N106="",AVERAGE(N:N),N106)+IF(O106="",AVERAGE(O:O),O106)+IF(P106="",AVERAGE(P:P),P106)+IF(Q106="",AVERAGE(Q:Q),Q106)+IF(R106="",AVERAGE(R:R),R106)+IF(S106="",AVERAGE(S:S),S106))))))</f>
        <v>2236</v>
      </c>
    </row>
    <row r="107" spans="1:20" x14ac:dyDescent="0.3">
      <c r="A107" s="1">
        <v>45891.381006944444</v>
      </c>
      <c r="B107">
        <v>1755868119</v>
      </c>
      <c r="C107">
        <v>2.0333299999999999</v>
      </c>
      <c r="E107">
        <v>3.11666</v>
      </c>
      <c r="F107">
        <v>2.85</v>
      </c>
      <c r="G107">
        <v>0.65</v>
      </c>
      <c r="H107">
        <v>5.3333300000000001</v>
      </c>
      <c r="I107">
        <v>3.95</v>
      </c>
      <c r="J107">
        <v>11.01666</v>
      </c>
      <c r="L107">
        <f>IF(C107="","",C107*60)</f>
        <v>121.99979999999999</v>
      </c>
      <c r="M107" t="str">
        <f>IF(D107="","",D107*60)</f>
        <v/>
      </c>
      <c r="N107">
        <f>IF(E107="","",E107*60)</f>
        <v>186.99959999999999</v>
      </c>
      <c r="O107">
        <f>IF(F107="","",F107*60)</f>
        <v>171</v>
      </c>
      <c r="P107">
        <f>IF(G107="","",G107*60)</f>
        <v>39</v>
      </c>
      <c r="Q107">
        <f>IF(H107="","",H107*60)</f>
        <v>319.99979999999999</v>
      </c>
      <c r="R107">
        <f>IF(I107="","",I107*60)</f>
        <v>237</v>
      </c>
      <c r="S107">
        <f>IF(J107="","",J107*60)</f>
        <v>660.99959999999999</v>
      </c>
      <c r="T107" s="3">
        <f>ROUND(IF(L107="",AVERAGE(L:L),L107)+IF(M107="",AVERAGE(M:M),M107)+IF(N107="",AVERAGE(N:N),N107)+IF(O107="",AVERAGE(O:O),O107)+IF(P107="",AVERAGE(P:P),P107)+IF(Q107="",AVERAGE(Q:Q),Q107)+IF(R107="",AVERAGE(R:R),R107)+IF(S107="",AVERAGE(S:S),S107), 4-(1+INT(LOG10(ABS(IF(L107="",AVERAGE(L:L),L107)+IF(M107="",AVERAGE(M:M),M107)+IF(N107="",AVERAGE(N:N),N107)+IF(O107="",AVERAGE(O:O),O107)+IF(P107="",AVERAGE(P:P),P107)+IF(Q107="",AVERAGE(Q:Q),Q107)+IF(R107="",AVERAGE(R:R),R107)+IF(S107="",AVERAGE(S:S),S107))))))</f>
        <v>2227</v>
      </c>
    </row>
    <row r="108" spans="1:20" x14ac:dyDescent="0.3">
      <c r="A108" s="1">
        <v>45891.406192129631</v>
      </c>
      <c r="B108">
        <v>1755870295</v>
      </c>
      <c r="C108">
        <v>2.9333300000000002</v>
      </c>
      <c r="E108">
        <v>3.15</v>
      </c>
      <c r="F108">
        <v>2.4166599999999998</v>
      </c>
      <c r="G108">
        <v>0.65</v>
      </c>
      <c r="H108">
        <v>5.25</v>
      </c>
      <c r="I108">
        <v>3.1666599999999998</v>
      </c>
      <c r="J108">
        <v>10.199999999999999</v>
      </c>
      <c r="L108">
        <f>IF(C108="","",C108*60)</f>
        <v>175.99980000000002</v>
      </c>
      <c r="M108" t="str">
        <f>IF(D108="","",D108*60)</f>
        <v/>
      </c>
      <c r="N108">
        <f>IF(E108="","",E108*60)</f>
        <v>189</v>
      </c>
      <c r="O108">
        <f>IF(F108="","",F108*60)</f>
        <v>144.99959999999999</v>
      </c>
      <c r="P108">
        <f>IF(G108="","",G108*60)</f>
        <v>39</v>
      </c>
      <c r="Q108">
        <f>IF(H108="","",H108*60)</f>
        <v>315</v>
      </c>
      <c r="R108">
        <f>IF(I108="","",I108*60)</f>
        <v>189.99959999999999</v>
      </c>
      <c r="S108">
        <f>IF(J108="","",J108*60)</f>
        <v>612</v>
      </c>
      <c r="T108" s="3">
        <f>ROUND(IF(L108="",AVERAGE(L:L),L108)+IF(M108="",AVERAGE(M:M),M108)+IF(N108="",AVERAGE(N:N),N108)+IF(O108="",AVERAGE(O:O),O108)+IF(P108="",AVERAGE(P:P),P108)+IF(Q108="",AVERAGE(Q:Q),Q108)+IF(R108="",AVERAGE(R:R),R108)+IF(S108="",AVERAGE(S:S),S108), 4-(1+INT(LOG10(ABS(IF(L108="",AVERAGE(L:L),L108)+IF(M108="",AVERAGE(M:M),M108)+IF(N108="",AVERAGE(N:N),N108)+IF(O108="",AVERAGE(O:O),O108)+IF(P108="",AVERAGE(P:P),P108)+IF(Q108="",AVERAGE(Q:Q),Q108)+IF(R108="",AVERAGE(R:R),R108)+IF(S108="",AVERAGE(S:S),S108))))))</f>
        <v>2156</v>
      </c>
    </row>
    <row r="109" spans="1:20" x14ac:dyDescent="0.3">
      <c r="A109" s="1">
        <v>45891.432685185187</v>
      </c>
      <c r="B109">
        <v>1755872584</v>
      </c>
      <c r="C109">
        <v>2.1833300000000002</v>
      </c>
      <c r="E109">
        <v>3.2</v>
      </c>
      <c r="F109">
        <v>2.2666599999999999</v>
      </c>
      <c r="G109">
        <v>0.76666000000000001</v>
      </c>
      <c r="H109">
        <v>5.4833299999999996</v>
      </c>
      <c r="I109">
        <v>3.61666</v>
      </c>
      <c r="J109">
        <v>11.3</v>
      </c>
      <c r="L109">
        <f>IF(C109="","",C109*60)</f>
        <v>130.99980000000002</v>
      </c>
      <c r="M109" t="str">
        <f>IF(D109="","",D109*60)</f>
        <v/>
      </c>
      <c r="N109">
        <f>IF(E109="","",E109*60)</f>
        <v>192</v>
      </c>
      <c r="O109">
        <f>IF(F109="","",F109*60)</f>
        <v>135.99959999999999</v>
      </c>
      <c r="P109">
        <f>IF(G109="","",G109*60)</f>
        <v>45.999600000000001</v>
      </c>
      <c r="Q109">
        <f>IF(H109="","",H109*60)</f>
        <v>328.99979999999999</v>
      </c>
      <c r="R109">
        <f>IF(I109="","",I109*60)</f>
        <v>216.99959999999999</v>
      </c>
      <c r="S109">
        <f>IF(J109="","",J109*60)</f>
        <v>678</v>
      </c>
      <c r="T109" s="3">
        <f>ROUND(IF(L109="",AVERAGE(L:L),L109)+IF(M109="",AVERAGE(M:M),M109)+IF(N109="",AVERAGE(N:N),N109)+IF(O109="",AVERAGE(O:O),O109)+IF(P109="",AVERAGE(P:P),P109)+IF(Q109="",AVERAGE(Q:Q),Q109)+IF(R109="",AVERAGE(R:R),R109)+IF(S109="",AVERAGE(S:S),S109), 4-(1+INT(LOG10(ABS(IF(L109="",AVERAGE(L:L),L109)+IF(M109="",AVERAGE(M:M),M109)+IF(N109="",AVERAGE(N:N),N109)+IF(O109="",AVERAGE(O:O),O109)+IF(P109="",AVERAGE(P:P),P109)+IF(Q109="",AVERAGE(Q:Q),Q109)+IF(R109="",AVERAGE(R:R),R109)+IF(S109="",AVERAGE(S:S),S109))))))</f>
        <v>2219</v>
      </c>
    </row>
    <row r="110" spans="1:20" x14ac:dyDescent="0.3">
      <c r="A110" s="1">
        <v>45891.462743055556</v>
      </c>
      <c r="B110">
        <v>1755875181</v>
      </c>
      <c r="E110">
        <v>3.4166599999999998</v>
      </c>
      <c r="F110">
        <v>3.2666599999999999</v>
      </c>
      <c r="G110">
        <v>0.68332999999999999</v>
      </c>
      <c r="H110">
        <v>5.2833300000000003</v>
      </c>
      <c r="I110">
        <v>3.4333300000000002</v>
      </c>
      <c r="J110">
        <v>11.55</v>
      </c>
      <c r="L110" t="str">
        <f>IF(C110="","",C110*60)</f>
        <v/>
      </c>
      <c r="M110" t="str">
        <f>IF(D110="","",D110*60)</f>
        <v/>
      </c>
      <c r="N110">
        <f>IF(E110="","",E110*60)</f>
        <v>204.99959999999999</v>
      </c>
      <c r="O110">
        <f>IF(F110="","",F110*60)</f>
        <v>195.99959999999999</v>
      </c>
      <c r="P110">
        <f>IF(G110="","",G110*60)</f>
        <v>40.9998</v>
      </c>
      <c r="Q110">
        <f>IF(H110="","",H110*60)</f>
        <v>316.99979999999999</v>
      </c>
      <c r="R110">
        <f>IF(I110="","",I110*60)</f>
        <v>205.99980000000002</v>
      </c>
      <c r="S110">
        <f>IF(J110="","",J110*60)</f>
        <v>693</v>
      </c>
      <c r="T110" s="3">
        <f>ROUND(IF(L110="",AVERAGE(L:L),L110)+IF(M110="",AVERAGE(M:M),M110)+IF(N110="",AVERAGE(N:N),N110)+IF(O110="",AVERAGE(O:O),O110)+IF(P110="",AVERAGE(P:P),P110)+IF(Q110="",AVERAGE(Q:Q),Q110)+IF(R110="",AVERAGE(R:R),R110)+IF(S110="",AVERAGE(S:S),S110), 4-(1+INT(LOG10(ABS(IF(L110="",AVERAGE(L:L),L110)+IF(M110="",AVERAGE(M:M),M110)+IF(N110="",AVERAGE(N:N),N110)+IF(O110="",AVERAGE(O:O),O110)+IF(P110="",AVERAGE(P:P),P110)+IF(Q110="",AVERAGE(Q:Q),Q110)+IF(R110="",AVERAGE(R:R),R110)+IF(S110="",AVERAGE(S:S),S110))))))</f>
        <v>2282</v>
      </c>
    </row>
    <row r="111" spans="1:20" x14ac:dyDescent="0.3">
      <c r="A111" s="1">
        <v>45891.490011574075</v>
      </c>
      <c r="B111">
        <v>1755877537</v>
      </c>
      <c r="C111">
        <v>2.15</v>
      </c>
      <c r="E111">
        <v>3.6833300000000002</v>
      </c>
      <c r="F111">
        <v>2.4166599999999998</v>
      </c>
      <c r="G111">
        <v>0.66666000000000003</v>
      </c>
      <c r="H111">
        <v>5.2166600000000001</v>
      </c>
      <c r="I111">
        <v>4.75</v>
      </c>
      <c r="J111">
        <v>10.33333</v>
      </c>
      <c r="L111">
        <f>IF(C111="","",C111*60)</f>
        <v>129</v>
      </c>
      <c r="M111" t="str">
        <f>IF(D111="","",D111*60)</f>
        <v/>
      </c>
      <c r="N111">
        <f>IF(E111="","",E111*60)</f>
        <v>220.99980000000002</v>
      </c>
      <c r="O111">
        <f>IF(F111="","",F111*60)</f>
        <v>144.99959999999999</v>
      </c>
      <c r="P111">
        <f>IF(G111="","",G111*60)</f>
        <v>39.999600000000001</v>
      </c>
      <c r="Q111">
        <f>IF(H111="","",H111*60)</f>
        <v>312.99959999999999</v>
      </c>
      <c r="R111">
        <f>IF(I111="","",I111*60)</f>
        <v>285</v>
      </c>
      <c r="S111">
        <f>IF(J111="","",J111*60)</f>
        <v>619.99980000000005</v>
      </c>
      <c r="T111" s="3">
        <f>ROUND(IF(L111="",AVERAGE(L:L),L111)+IF(M111="",AVERAGE(M:M),M111)+IF(N111="",AVERAGE(N:N),N111)+IF(O111="",AVERAGE(O:O),O111)+IF(P111="",AVERAGE(P:P),P111)+IF(Q111="",AVERAGE(Q:Q),Q111)+IF(R111="",AVERAGE(R:R),R111)+IF(S111="",AVERAGE(S:S),S111), 4-(1+INT(LOG10(ABS(IF(L111="",AVERAGE(L:L),L111)+IF(M111="",AVERAGE(M:M),M111)+IF(N111="",AVERAGE(N:N),N111)+IF(O111="",AVERAGE(O:O),O111)+IF(P111="",AVERAGE(P:P),P111)+IF(Q111="",AVERAGE(Q:Q),Q111)+IF(R111="",AVERAGE(R:R),R111)+IF(S111="",AVERAGE(S:S),S111))))))</f>
        <v>2243</v>
      </c>
    </row>
    <row r="112" spans="1:20" x14ac:dyDescent="0.3">
      <c r="A112" s="1">
        <v>45891.519687499997</v>
      </c>
      <c r="B112">
        <v>1755880101</v>
      </c>
      <c r="C112">
        <v>2.11666</v>
      </c>
      <c r="E112">
        <v>3.11666</v>
      </c>
      <c r="F112">
        <v>2.23333</v>
      </c>
      <c r="G112">
        <v>0.66666000000000003</v>
      </c>
      <c r="H112">
        <v>5.1333299999999999</v>
      </c>
      <c r="I112">
        <v>3.2</v>
      </c>
      <c r="J112">
        <v>15.783329999999999</v>
      </c>
      <c r="L112">
        <f>IF(C112="","",C112*60)</f>
        <v>126.9996</v>
      </c>
      <c r="M112" t="str">
        <f>IF(D112="","",D112*60)</f>
        <v/>
      </c>
      <c r="N112">
        <f>IF(E112="","",E112*60)</f>
        <v>186.99959999999999</v>
      </c>
      <c r="O112">
        <f>IF(F112="","",F112*60)</f>
        <v>133.99979999999999</v>
      </c>
      <c r="P112">
        <f>IF(G112="","",G112*60)</f>
        <v>39.999600000000001</v>
      </c>
      <c r="Q112">
        <f>IF(H112="","",H112*60)</f>
        <v>307.99979999999999</v>
      </c>
      <c r="R112">
        <f>IF(I112="","",I112*60)</f>
        <v>192</v>
      </c>
      <c r="S112">
        <f>IF(J112="","",J112*60)</f>
        <v>946.99979999999994</v>
      </c>
      <c r="T112" s="3">
        <f>ROUND(IF(L112="",AVERAGE(L:L),L112)+IF(M112="",AVERAGE(M:M),M112)+IF(N112="",AVERAGE(N:N),N112)+IF(O112="",AVERAGE(O:O),O112)+IF(P112="",AVERAGE(P:P),P112)+IF(Q112="",AVERAGE(Q:Q),Q112)+IF(R112="",AVERAGE(R:R),R112)+IF(S112="",AVERAGE(S:S),S112), 4-(1+INT(LOG10(ABS(IF(L112="",AVERAGE(L:L),L112)+IF(M112="",AVERAGE(M:M),M112)+IF(N112="",AVERAGE(N:N),N112)+IF(O112="",AVERAGE(O:O),O112)+IF(P112="",AVERAGE(P:P),P112)+IF(Q112="",AVERAGE(Q:Q),Q112)+IF(R112="",AVERAGE(R:R),R112)+IF(S112="",AVERAGE(S:S),S112))))))</f>
        <v>2425</v>
      </c>
    </row>
    <row r="113" spans="1:20" x14ac:dyDescent="0.3">
      <c r="A113" s="1">
        <v>45891.544560185182</v>
      </c>
      <c r="B113">
        <v>1755882250</v>
      </c>
      <c r="C113">
        <v>2.1833300000000002</v>
      </c>
      <c r="E113">
        <v>3.15</v>
      </c>
      <c r="F113">
        <v>2.2666599999999999</v>
      </c>
      <c r="G113">
        <v>0.7</v>
      </c>
      <c r="H113">
        <v>5.3333300000000001</v>
      </c>
      <c r="I113">
        <v>3.15</v>
      </c>
      <c r="J113">
        <v>11.36666</v>
      </c>
      <c r="L113">
        <f>IF(C113="","",C113*60)</f>
        <v>130.99980000000002</v>
      </c>
      <c r="M113" t="str">
        <f>IF(D113="","",D113*60)</f>
        <v/>
      </c>
      <c r="N113">
        <f>IF(E113="","",E113*60)</f>
        <v>189</v>
      </c>
      <c r="O113">
        <f>IF(F113="","",F113*60)</f>
        <v>135.99959999999999</v>
      </c>
      <c r="P113">
        <f>IF(G113="","",G113*60)</f>
        <v>42</v>
      </c>
      <c r="Q113">
        <f>IF(H113="","",H113*60)</f>
        <v>319.99979999999999</v>
      </c>
      <c r="R113">
        <f>IF(I113="","",I113*60)</f>
        <v>189</v>
      </c>
      <c r="S113">
        <f>IF(J113="","",J113*60)</f>
        <v>681.99959999999999</v>
      </c>
      <c r="T113" s="3">
        <f>ROUND(IF(L113="",AVERAGE(L:L),L113)+IF(M113="",AVERAGE(M:M),M113)+IF(N113="",AVERAGE(N:N),N113)+IF(O113="",AVERAGE(O:O),O113)+IF(P113="",AVERAGE(P:P),P113)+IF(Q113="",AVERAGE(Q:Q),Q113)+IF(R113="",AVERAGE(R:R),R113)+IF(S113="",AVERAGE(S:S),S113), 4-(1+INT(LOG10(ABS(IF(L113="",AVERAGE(L:L),L113)+IF(M113="",AVERAGE(M:M),M113)+IF(N113="",AVERAGE(N:N),N113)+IF(O113="",AVERAGE(O:O),O113)+IF(P113="",AVERAGE(P:P),P113)+IF(Q113="",AVERAGE(Q:Q),Q113)+IF(R113="",AVERAGE(R:R),R113)+IF(S113="",AVERAGE(S:S),S113))))))</f>
        <v>2179</v>
      </c>
    </row>
    <row r="114" spans="1:20" x14ac:dyDescent="0.3">
      <c r="A114" s="1">
        <v>45891.573460648149</v>
      </c>
      <c r="B114">
        <v>1755884747</v>
      </c>
      <c r="C114">
        <v>2.11666</v>
      </c>
      <c r="E114">
        <v>3.1333299999999999</v>
      </c>
      <c r="F114">
        <v>2.23333</v>
      </c>
      <c r="G114">
        <v>0.71665999999999996</v>
      </c>
      <c r="H114">
        <v>5.1833299999999998</v>
      </c>
      <c r="I114">
        <v>3.3</v>
      </c>
      <c r="J114">
        <v>16.05</v>
      </c>
      <c r="L114">
        <f>IF(C114="","",C114*60)</f>
        <v>126.9996</v>
      </c>
      <c r="M114" t="str">
        <f>IF(D114="","",D114*60)</f>
        <v/>
      </c>
      <c r="N114">
        <f>IF(E114="","",E114*60)</f>
        <v>187.99979999999999</v>
      </c>
      <c r="O114">
        <f>IF(F114="","",F114*60)</f>
        <v>133.99979999999999</v>
      </c>
      <c r="P114">
        <f>IF(G114="","",G114*60)</f>
        <v>42.999600000000001</v>
      </c>
      <c r="Q114">
        <f>IF(H114="","",H114*60)</f>
        <v>310.99979999999999</v>
      </c>
      <c r="R114">
        <f>IF(I114="","",I114*60)</f>
        <v>198</v>
      </c>
      <c r="S114">
        <f>IF(J114="","",J114*60)</f>
        <v>963</v>
      </c>
      <c r="T114" s="3">
        <f>ROUND(IF(L114="",AVERAGE(L:L),L114)+IF(M114="",AVERAGE(M:M),M114)+IF(N114="",AVERAGE(N:N),N114)+IF(O114="",AVERAGE(O:O),O114)+IF(P114="",AVERAGE(P:P),P114)+IF(Q114="",AVERAGE(Q:Q),Q114)+IF(R114="",AVERAGE(R:R),R114)+IF(S114="",AVERAGE(S:S),S114), 4-(1+INT(LOG10(ABS(IF(L114="",AVERAGE(L:L),L114)+IF(M114="",AVERAGE(M:M),M114)+IF(N114="",AVERAGE(N:N),N114)+IF(O114="",AVERAGE(O:O),O114)+IF(P114="",AVERAGE(P:P),P114)+IF(Q114="",AVERAGE(Q:Q),Q114)+IF(R114="",AVERAGE(R:R),R114)+IF(S114="",AVERAGE(S:S),S114))))))</f>
        <v>2454</v>
      </c>
    </row>
    <row r="115" spans="1:20" x14ac:dyDescent="0.3">
      <c r="A115" s="1">
        <v>45891.600231481483</v>
      </c>
      <c r="B115">
        <v>1755887060</v>
      </c>
      <c r="C115">
        <v>2.1666599999999998</v>
      </c>
      <c r="E115">
        <v>3.1833300000000002</v>
      </c>
      <c r="F115">
        <v>2.36666</v>
      </c>
      <c r="G115">
        <v>0.8</v>
      </c>
      <c r="H115">
        <v>5.15</v>
      </c>
      <c r="I115">
        <v>3.23333</v>
      </c>
      <c r="J115">
        <v>12.18333</v>
      </c>
      <c r="L115">
        <f>IF(C115="","",C115*60)</f>
        <v>129.99959999999999</v>
      </c>
      <c r="M115" t="str">
        <f>IF(D115="","",D115*60)</f>
        <v/>
      </c>
      <c r="N115">
        <f>IF(E115="","",E115*60)</f>
        <v>190.99980000000002</v>
      </c>
      <c r="O115">
        <f>IF(F115="","",F115*60)</f>
        <v>141.99959999999999</v>
      </c>
      <c r="P115">
        <f>IF(G115="","",G115*60)</f>
        <v>48</v>
      </c>
      <c r="Q115">
        <f>IF(H115="","",H115*60)</f>
        <v>309</v>
      </c>
      <c r="R115">
        <f>IF(I115="","",I115*60)</f>
        <v>193.99979999999999</v>
      </c>
      <c r="S115">
        <f>IF(J115="","",J115*60)</f>
        <v>730.99979999999994</v>
      </c>
      <c r="T115" s="3">
        <f>ROUND(IF(L115="",AVERAGE(L:L),L115)+IF(M115="",AVERAGE(M:M),M115)+IF(N115="",AVERAGE(N:N),N115)+IF(O115="",AVERAGE(O:O),O115)+IF(P115="",AVERAGE(P:P),P115)+IF(Q115="",AVERAGE(Q:Q),Q115)+IF(R115="",AVERAGE(R:R),R115)+IF(S115="",AVERAGE(S:S),S115), 4-(1+INT(LOG10(ABS(IF(L115="",AVERAGE(L:L),L115)+IF(M115="",AVERAGE(M:M),M115)+IF(N115="",AVERAGE(N:N),N115)+IF(O115="",AVERAGE(O:O),O115)+IF(P115="",AVERAGE(P:P),P115)+IF(Q115="",AVERAGE(Q:Q),Q115)+IF(R115="",AVERAGE(R:R),R115)+IF(S115="",AVERAGE(S:S),S115))))))</f>
        <v>2235</v>
      </c>
    </row>
    <row r="116" spans="1:20" x14ac:dyDescent="0.3">
      <c r="A116" s="1">
        <v>45891.626296296294</v>
      </c>
      <c r="B116">
        <v>1755889312</v>
      </c>
      <c r="C116">
        <v>2.2166600000000001</v>
      </c>
      <c r="E116">
        <v>3.23333</v>
      </c>
      <c r="F116">
        <v>2.3333300000000001</v>
      </c>
      <c r="G116">
        <v>0.73333000000000004</v>
      </c>
      <c r="H116">
        <v>5.0666599999999997</v>
      </c>
      <c r="I116">
        <v>3.25</v>
      </c>
      <c r="J116">
        <v>12.216659999999999</v>
      </c>
      <c r="L116">
        <f>IF(C116="","",C116*60)</f>
        <v>132.99960000000002</v>
      </c>
      <c r="M116" t="str">
        <f>IF(D116="","",D116*60)</f>
        <v/>
      </c>
      <c r="N116">
        <f>IF(E116="","",E116*60)</f>
        <v>193.99979999999999</v>
      </c>
      <c r="O116">
        <f>IF(F116="","",F116*60)</f>
        <v>139.99979999999999</v>
      </c>
      <c r="P116">
        <f>IF(G116="","",G116*60)</f>
        <v>43.9998</v>
      </c>
      <c r="Q116">
        <f>IF(H116="","",H116*60)</f>
        <v>303.99959999999999</v>
      </c>
      <c r="R116">
        <f>IF(I116="","",I116*60)</f>
        <v>195</v>
      </c>
      <c r="S116">
        <f>IF(J116="","",J116*60)</f>
        <v>732.99959999999999</v>
      </c>
      <c r="T116" s="3">
        <f>ROUND(IF(L116="",AVERAGE(L:L),L116)+IF(M116="",AVERAGE(M:M),M116)+IF(N116="",AVERAGE(N:N),N116)+IF(O116="",AVERAGE(O:O),O116)+IF(P116="",AVERAGE(P:P),P116)+IF(Q116="",AVERAGE(Q:Q),Q116)+IF(R116="",AVERAGE(R:R),R116)+IF(S116="",AVERAGE(S:S),S116), 4-(1+INT(LOG10(ABS(IF(L116="",AVERAGE(L:L),L116)+IF(M116="",AVERAGE(M:M),M116)+IF(N116="",AVERAGE(N:N),N116)+IF(O116="",AVERAGE(O:O),O116)+IF(P116="",AVERAGE(P:P),P116)+IF(Q116="",AVERAGE(Q:Q),Q116)+IF(R116="",AVERAGE(R:R),R116)+IF(S116="",AVERAGE(S:S),S116))))))</f>
        <v>2233</v>
      </c>
    </row>
    <row r="117" spans="1:20" x14ac:dyDescent="0.3">
      <c r="A117" s="1">
        <v>45891.655972222223</v>
      </c>
      <c r="B117">
        <v>1755891876</v>
      </c>
      <c r="E117">
        <v>3.8833299999999999</v>
      </c>
      <c r="F117">
        <v>2.75</v>
      </c>
      <c r="H117">
        <v>5.1166600000000004</v>
      </c>
      <c r="I117">
        <v>3.36666</v>
      </c>
      <c r="J117">
        <v>11.43333</v>
      </c>
      <c r="L117" t="str">
        <f>IF(C117="","",C117*60)</f>
        <v/>
      </c>
      <c r="M117" t="str">
        <f>IF(D117="","",D117*60)</f>
        <v/>
      </c>
      <c r="N117">
        <f>IF(E117="","",E117*60)</f>
        <v>232.99979999999999</v>
      </c>
      <c r="O117">
        <f>IF(F117="","",F117*60)</f>
        <v>165</v>
      </c>
      <c r="P117" t="str">
        <f>IF(G117="","",G117*60)</f>
        <v/>
      </c>
      <c r="Q117">
        <f>IF(H117="","",H117*60)</f>
        <v>306.99960000000004</v>
      </c>
      <c r="R117">
        <f>IF(I117="","",I117*60)</f>
        <v>201.99959999999999</v>
      </c>
      <c r="S117">
        <f>IF(J117="","",J117*60)</f>
        <v>685.99979999999994</v>
      </c>
      <c r="T117" s="3">
        <f>ROUND(IF(L117="",AVERAGE(L:L),L117)+IF(M117="",AVERAGE(M:M),M117)+IF(N117="",AVERAGE(N:N),N117)+IF(O117="",AVERAGE(O:O),O117)+IF(P117="",AVERAGE(P:P),P117)+IF(Q117="",AVERAGE(Q:Q),Q117)+IF(R117="",AVERAGE(R:R),R117)+IF(S117="",AVERAGE(S:S),S117), 4-(1+INT(LOG10(ABS(IF(L117="",AVERAGE(L:L),L117)+IF(M117="",AVERAGE(M:M),M117)+IF(N117="",AVERAGE(N:N),N117)+IF(O117="",AVERAGE(O:O),O117)+IF(P117="",AVERAGE(P:P),P117)+IF(Q117="",AVERAGE(Q:Q),Q117)+IF(R117="",AVERAGE(R:R),R117)+IF(S117="",AVERAGE(S:S),S117))))))</f>
        <v>2261</v>
      </c>
    </row>
    <row r="118" spans="1:20" x14ac:dyDescent="0.3">
      <c r="A118" s="1">
        <v>45891.683877314812</v>
      </c>
      <c r="B118">
        <v>1755894287</v>
      </c>
      <c r="C118">
        <v>2.1833300000000002</v>
      </c>
      <c r="E118">
        <v>3.4666600000000001</v>
      </c>
      <c r="F118">
        <v>2.48333</v>
      </c>
      <c r="G118">
        <v>0.66666000000000003</v>
      </c>
      <c r="H118">
        <v>6.4333299999999998</v>
      </c>
      <c r="I118">
        <v>3.61666</v>
      </c>
      <c r="J118">
        <v>12.5</v>
      </c>
      <c r="L118">
        <f>IF(C118="","",C118*60)</f>
        <v>130.99980000000002</v>
      </c>
      <c r="M118" t="str">
        <f>IF(D118="","",D118*60)</f>
        <v/>
      </c>
      <c r="N118">
        <f>IF(E118="","",E118*60)</f>
        <v>207.99960000000002</v>
      </c>
      <c r="O118">
        <f>IF(F118="","",F118*60)</f>
        <v>148.99979999999999</v>
      </c>
      <c r="P118">
        <f>IF(G118="","",G118*60)</f>
        <v>39.999600000000001</v>
      </c>
      <c r="Q118">
        <f>IF(H118="","",H118*60)</f>
        <v>385.99979999999999</v>
      </c>
      <c r="R118">
        <f>IF(I118="","",I118*60)</f>
        <v>216.99959999999999</v>
      </c>
      <c r="S118">
        <f>IF(J118="","",J118*60)</f>
        <v>750</v>
      </c>
      <c r="T118" s="3">
        <f>ROUND(IF(L118="",AVERAGE(L:L),L118)+IF(M118="",AVERAGE(M:M),M118)+IF(N118="",AVERAGE(N:N),N118)+IF(O118="",AVERAGE(O:O),O118)+IF(P118="",AVERAGE(P:P),P118)+IF(Q118="",AVERAGE(Q:Q),Q118)+IF(R118="",AVERAGE(R:R),R118)+IF(S118="",AVERAGE(S:S),S118), 4-(1+INT(LOG10(ABS(IF(L118="",AVERAGE(L:L),L118)+IF(M118="",AVERAGE(M:M),M118)+IF(N118="",AVERAGE(N:N),N118)+IF(O118="",AVERAGE(O:O),O118)+IF(P118="",AVERAGE(P:P),P118)+IF(Q118="",AVERAGE(Q:Q),Q118)+IF(R118="",AVERAGE(R:R),R118)+IF(S118="",AVERAGE(S:S),S118))))))</f>
        <v>2371</v>
      </c>
    </row>
    <row r="119" spans="1:20" x14ac:dyDescent="0.3">
      <c r="A119" s="1">
        <v>45891.712442129632</v>
      </c>
      <c r="B119">
        <v>1755896755</v>
      </c>
      <c r="C119">
        <v>2.3833299999999999</v>
      </c>
      <c r="E119">
        <v>3.3833299999999999</v>
      </c>
      <c r="F119">
        <v>2.4166599999999998</v>
      </c>
      <c r="G119">
        <v>1.0166599999999999</v>
      </c>
      <c r="H119">
        <v>5.95</v>
      </c>
      <c r="I119">
        <v>4.5166599999999999</v>
      </c>
      <c r="J119">
        <v>11.48333</v>
      </c>
      <c r="L119">
        <f>IF(C119="","",C119*60)</f>
        <v>142.99979999999999</v>
      </c>
      <c r="M119" t="str">
        <f>IF(D119="","",D119*60)</f>
        <v/>
      </c>
      <c r="N119">
        <f>IF(E119="","",E119*60)</f>
        <v>202.99979999999999</v>
      </c>
      <c r="O119">
        <f>IF(F119="","",F119*60)</f>
        <v>144.99959999999999</v>
      </c>
      <c r="P119">
        <f>IF(G119="","",G119*60)</f>
        <v>60.999599999999994</v>
      </c>
      <c r="Q119">
        <f>IF(H119="","",H119*60)</f>
        <v>357</v>
      </c>
      <c r="R119">
        <f>IF(I119="","",I119*60)</f>
        <v>270.99959999999999</v>
      </c>
      <c r="S119">
        <f>IF(J119="","",J119*60)</f>
        <v>688.99980000000005</v>
      </c>
      <c r="T119" s="3">
        <f>ROUND(IF(L119="",AVERAGE(L:L),L119)+IF(M119="",AVERAGE(M:M),M119)+IF(N119="",AVERAGE(N:N),N119)+IF(O119="",AVERAGE(O:O),O119)+IF(P119="",AVERAGE(P:P),P119)+IF(Q119="",AVERAGE(Q:Q),Q119)+IF(R119="",AVERAGE(R:R),R119)+IF(S119="",AVERAGE(S:S),S119), 4-(1+INT(LOG10(ABS(IF(L119="",AVERAGE(L:L),L119)+IF(M119="",AVERAGE(M:M),M119)+IF(N119="",AVERAGE(N:N),N119)+IF(O119="",AVERAGE(O:O),O119)+IF(P119="",AVERAGE(P:P),P119)+IF(Q119="",AVERAGE(Q:Q),Q119)+IF(R119="",AVERAGE(R:R),R119)+IF(S119="",AVERAGE(S:S),S119))))))</f>
        <v>2359</v>
      </c>
    </row>
    <row r="120" spans="1:20" x14ac:dyDescent="0.3">
      <c r="A120" s="1">
        <v>45891.73778935185</v>
      </c>
      <c r="B120">
        <v>1755898945</v>
      </c>
      <c r="C120">
        <v>2.36666</v>
      </c>
      <c r="E120">
        <v>2.9666600000000001</v>
      </c>
      <c r="F120">
        <v>3.0166599999999999</v>
      </c>
      <c r="G120">
        <v>0.71665999999999996</v>
      </c>
      <c r="H120">
        <v>5.0333300000000003</v>
      </c>
      <c r="I120">
        <v>4.0666599999999997</v>
      </c>
      <c r="J120">
        <v>10.25</v>
      </c>
      <c r="L120">
        <f>IF(C120="","",C120*60)</f>
        <v>141.99959999999999</v>
      </c>
      <c r="M120" t="str">
        <f>IF(D120="","",D120*60)</f>
        <v/>
      </c>
      <c r="N120">
        <f>IF(E120="","",E120*60)</f>
        <v>177.99960000000002</v>
      </c>
      <c r="O120">
        <f>IF(F120="","",F120*60)</f>
        <v>180.99959999999999</v>
      </c>
      <c r="P120">
        <f>IF(G120="","",G120*60)</f>
        <v>42.999600000000001</v>
      </c>
      <c r="Q120">
        <f>IF(H120="","",H120*60)</f>
        <v>301.99979999999999</v>
      </c>
      <c r="R120">
        <f>IF(I120="","",I120*60)</f>
        <v>243.99959999999999</v>
      </c>
      <c r="S120">
        <f>IF(J120="","",J120*60)</f>
        <v>615</v>
      </c>
      <c r="T120" s="3">
        <f>ROUND(IF(L120="",AVERAGE(L:L),L120)+IF(M120="",AVERAGE(M:M),M120)+IF(N120="",AVERAGE(N:N),N120)+IF(O120="",AVERAGE(O:O),O120)+IF(P120="",AVERAGE(P:P),P120)+IF(Q120="",AVERAGE(Q:Q),Q120)+IF(R120="",AVERAGE(R:R),R120)+IF(S120="",AVERAGE(S:S),S120), 4-(1+INT(LOG10(ABS(IF(L120="",AVERAGE(L:L),L120)+IF(M120="",AVERAGE(M:M),M120)+IF(N120="",AVERAGE(N:N),N120)+IF(O120="",AVERAGE(O:O),O120)+IF(P120="",AVERAGE(P:P),P120)+IF(Q120="",AVERAGE(Q:Q),Q120)+IF(R120="",AVERAGE(R:R),R120)+IF(S120="",AVERAGE(S:S),S120))))))</f>
        <v>2195</v>
      </c>
    </row>
    <row r="121" spans="1:20" x14ac:dyDescent="0.3">
      <c r="A121" s="1">
        <v>45891.761597222219</v>
      </c>
      <c r="B121">
        <v>1755901002</v>
      </c>
      <c r="C121">
        <v>2.0499999999999998</v>
      </c>
      <c r="E121">
        <v>3.1333299999999999</v>
      </c>
      <c r="F121">
        <v>2.2666599999999999</v>
      </c>
      <c r="G121">
        <v>0.65</v>
      </c>
      <c r="H121">
        <v>5.3</v>
      </c>
      <c r="I121">
        <v>3.2666599999999999</v>
      </c>
      <c r="J121">
        <v>11.383330000000001</v>
      </c>
      <c r="L121">
        <f>IF(C121="","",C121*60)</f>
        <v>122.99999999999999</v>
      </c>
      <c r="M121" t="str">
        <f>IF(D121="","",D121*60)</f>
        <v/>
      </c>
      <c r="N121">
        <f>IF(E121="","",E121*60)</f>
        <v>187.99979999999999</v>
      </c>
      <c r="O121">
        <f>IF(F121="","",F121*60)</f>
        <v>135.99959999999999</v>
      </c>
      <c r="P121">
        <f>IF(G121="","",G121*60)</f>
        <v>39</v>
      </c>
      <c r="Q121">
        <f>IF(H121="","",H121*60)</f>
        <v>318</v>
      </c>
      <c r="R121">
        <f>IF(I121="","",I121*60)</f>
        <v>195.99959999999999</v>
      </c>
      <c r="S121">
        <f>IF(J121="","",J121*60)</f>
        <v>682.99980000000005</v>
      </c>
      <c r="T121" s="3">
        <f>ROUND(IF(L121="",AVERAGE(L:L),L121)+IF(M121="",AVERAGE(M:M),M121)+IF(N121="",AVERAGE(N:N),N121)+IF(O121="",AVERAGE(O:O),O121)+IF(P121="",AVERAGE(P:P),P121)+IF(Q121="",AVERAGE(Q:Q),Q121)+IF(R121="",AVERAGE(R:R),R121)+IF(S121="",AVERAGE(S:S),S121), 4-(1+INT(LOG10(ABS(IF(L121="",AVERAGE(L:L),L121)+IF(M121="",AVERAGE(M:M),M121)+IF(N121="",AVERAGE(N:N),N121)+IF(O121="",AVERAGE(O:O),O121)+IF(P121="",AVERAGE(P:P),P121)+IF(Q121="",AVERAGE(Q:Q),Q121)+IF(R121="",AVERAGE(R:R),R121)+IF(S121="",AVERAGE(S:S),S121))))))</f>
        <v>2173</v>
      </c>
    </row>
    <row r="122" spans="1:20" x14ac:dyDescent="0.3">
      <c r="A122" s="1">
        <v>45891.786296296297</v>
      </c>
      <c r="B122">
        <v>1755903136</v>
      </c>
      <c r="E122">
        <v>3.2</v>
      </c>
      <c r="F122">
        <v>2.2666599999999999</v>
      </c>
      <c r="G122">
        <v>0.76666000000000001</v>
      </c>
      <c r="H122">
        <v>5.3</v>
      </c>
      <c r="I122">
        <v>4.0833300000000001</v>
      </c>
      <c r="J122">
        <v>10.35</v>
      </c>
      <c r="L122" t="str">
        <f>IF(C122="","",C122*60)</f>
        <v/>
      </c>
      <c r="M122" t="str">
        <f>IF(D122="","",D122*60)</f>
        <v/>
      </c>
      <c r="N122">
        <f>IF(E122="","",E122*60)</f>
        <v>192</v>
      </c>
      <c r="O122">
        <f>IF(F122="","",F122*60)</f>
        <v>135.99959999999999</v>
      </c>
      <c r="P122">
        <f>IF(G122="","",G122*60)</f>
        <v>45.999600000000001</v>
      </c>
      <c r="Q122">
        <f>IF(H122="","",H122*60)</f>
        <v>318</v>
      </c>
      <c r="R122">
        <f>IF(I122="","",I122*60)</f>
        <v>244.99979999999999</v>
      </c>
      <c r="S122">
        <f>IF(J122="","",J122*60)</f>
        <v>621</v>
      </c>
      <c r="T122" s="3">
        <f>ROUND(IF(L122="",AVERAGE(L:L),L122)+IF(M122="",AVERAGE(M:M),M122)+IF(N122="",AVERAGE(N:N),N122)+IF(O122="",AVERAGE(O:O),O122)+IF(P122="",AVERAGE(P:P),P122)+IF(Q122="",AVERAGE(Q:Q),Q122)+IF(R122="",AVERAGE(R:R),R122)+IF(S122="",AVERAGE(S:S),S122), 4-(1+INT(LOG10(ABS(IF(L122="",AVERAGE(L:L),L122)+IF(M122="",AVERAGE(M:M),M122)+IF(N122="",AVERAGE(N:N),N122)+IF(O122="",AVERAGE(O:O),O122)+IF(P122="",AVERAGE(P:P),P122)+IF(Q122="",AVERAGE(Q:Q),Q122)+IF(R122="",AVERAGE(R:R),R122)+IF(S122="",AVERAGE(S:S),S122))))))</f>
        <v>2182</v>
      </c>
    </row>
    <row r="123" spans="1:20" x14ac:dyDescent="0.3">
      <c r="A123" s="1">
        <v>45891.813715277778</v>
      </c>
      <c r="B123">
        <v>1755905505</v>
      </c>
      <c r="C123">
        <v>2.0833300000000001</v>
      </c>
      <c r="E123">
        <v>3.1333299999999999</v>
      </c>
      <c r="F123">
        <v>2.2666599999999999</v>
      </c>
      <c r="H123">
        <v>5.3166599999999997</v>
      </c>
      <c r="I123">
        <v>3.25</v>
      </c>
      <c r="J123">
        <v>11.15</v>
      </c>
      <c r="L123">
        <f>IF(C123="","",C123*60)</f>
        <v>124.99980000000001</v>
      </c>
      <c r="M123" t="str">
        <f>IF(D123="","",D123*60)</f>
        <v/>
      </c>
      <c r="N123">
        <f>IF(E123="","",E123*60)</f>
        <v>187.99979999999999</v>
      </c>
      <c r="O123">
        <f>IF(F123="","",F123*60)</f>
        <v>135.99959999999999</v>
      </c>
      <c r="P123" t="str">
        <f>IF(G123="","",G123*60)</f>
        <v/>
      </c>
      <c r="Q123">
        <f>IF(H123="","",H123*60)</f>
        <v>318.99959999999999</v>
      </c>
      <c r="R123">
        <f>IF(I123="","",I123*60)</f>
        <v>195</v>
      </c>
      <c r="S123">
        <f>IF(J123="","",J123*60)</f>
        <v>669</v>
      </c>
      <c r="T123" s="3">
        <f>ROUND(IF(L123="",AVERAGE(L:L),L123)+IF(M123="",AVERAGE(M:M),M123)+IF(N123="",AVERAGE(N:N),N123)+IF(O123="",AVERAGE(O:O),O123)+IF(P123="",AVERAGE(P:P),P123)+IF(Q123="",AVERAGE(Q:Q),Q123)+IF(R123="",AVERAGE(R:R),R123)+IF(S123="",AVERAGE(S:S),S123), 4-(1+INT(LOG10(ABS(IF(L123="",AVERAGE(L:L),L123)+IF(M123="",AVERAGE(M:M),M123)+IF(N123="",AVERAGE(N:N),N123)+IF(O123="",AVERAGE(O:O),O123)+IF(P123="",AVERAGE(P:P),P123)+IF(Q123="",AVERAGE(Q:Q),Q123)+IF(R123="",AVERAGE(R:R),R123)+IF(S123="",AVERAGE(S:S),S123))))))</f>
        <v>2166</v>
      </c>
    </row>
    <row r="124" spans="1:20" x14ac:dyDescent="0.3">
      <c r="A124" s="1">
        <v>45891.837222222224</v>
      </c>
      <c r="B124">
        <v>1755907536</v>
      </c>
      <c r="C124">
        <v>2.1</v>
      </c>
      <c r="E124">
        <v>3.15</v>
      </c>
      <c r="F124">
        <v>2.3166600000000002</v>
      </c>
      <c r="G124">
        <v>0.68332999999999999</v>
      </c>
      <c r="H124">
        <v>5.1166600000000004</v>
      </c>
      <c r="I124">
        <v>3.2</v>
      </c>
      <c r="J124">
        <v>10.383330000000001</v>
      </c>
      <c r="L124">
        <f>IF(C124="","",C124*60)</f>
        <v>126</v>
      </c>
      <c r="M124" t="str">
        <f>IF(D124="","",D124*60)</f>
        <v/>
      </c>
      <c r="N124">
        <f>IF(E124="","",E124*60)</f>
        <v>189</v>
      </c>
      <c r="O124">
        <f>IF(F124="","",F124*60)</f>
        <v>138.99960000000002</v>
      </c>
      <c r="P124">
        <f>IF(G124="","",G124*60)</f>
        <v>40.9998</v>
      </c>
      <c r="Q124">
        <f>IF(H124="","",H124*60)</f>
        <v>306.99960000000004</v>
      </c>
      <c r="R124">
        <f>IF(I124="","",I124*60)</f>
        <v>192</v>
      </c>
      <c r="S124">
        <f>IF(J124="","",J124*60)</f>
        <v>622.99980000000005</v>
      </c>
      <c r="T124" s="3">
        <f>ROUND(IF(L124="",AVERAGE(L:L),L124)+IF(M124="",AVERAGE(M:M),M124)+IF(N124="",AVERAGE(N:N),N124)+IF(O124="",AVERAGE(O:O),O124)+IF(P124="",AVERAGE(P:P),P124)+IF(Q124="",AVERAGE(Q:Q),Q124)+IF(R124="",AVERAGE(R:R),R124)+IF(S124="",AVERAGE(S:S),S124), 4-(1+INT(LOG10(ABS(IF(L124="",AVERAGE(L:L),L124)+IF(M124="",AVERAGE(M:M),M124)+IF(N124="",AVERAGE(N:N),N124)+IF(O124="",AVERAGE(O:O),O124)+IF(P124="",AVERAGE(P:P),P124)+IF(Q124="",AVERAGE(Q:Q),Q124)+IF(R124="",AVERAGE(R:R),R124)+IF(S124="",AVERAGE(S:S),S124))))))</f>
        <v>2107</v>
      </c>
    </row>
    <row r="125" spans="1:20" x14ac:dyDescent="0.3">
      <c r="A125" s="1">
        <v>45891.863171296296</v>
      </c>
      <c r="B125">
        <v>1755909778</v>
      </c>
      <c r="C125">
        <v>2.0666600000000002</v>
      </c>
      <c r="E125">
        <v>3.11666</v>
      </c>
      <c r="F125">
        <v>2.25</v>
      </c>
      <c r="G125">
        <v>0.65</v>
      </c>
      <c r="H125">
        <v>5.3</v>
      </c>
      <c r="I125">
        <v>4.2</v>
      </c>
      <c r="J125">
        <v>10.86666</v>
      </c>
      <c r="L125">
        <f>IF(C125="","",C125*60)</f>
        <v>123.99960000000002</v>
      </c>
      <c r="M125" t="str">
        <f>IF(D125="","",D125*60)</f>
        <v/>
      </c>
      <c r="N125">
        <f>IF(E125="","",E125*60)</f>
        <v>186.99959999999999</v>
      </c>
      <c r="O125">
        <f>IF(F125="","",F125*60)</f>
        <v>135</v>
      </c>
      <c r="P125">
        <f>IF(G125="","",G125*60)</f>
        <v>39</v>
      </c>
      <c r="Q125">
        <f>IF(H125="","",H125*60)</f>
        <v>318</v>
      </c>
      <c r="R125">
        <f>IF(I125="","",I125*60)</f>
        <v>252</v>
      </c>
      <c r="S125">
        <f>IF(J125="","",J125*60)</f>
        <v>651.99959999999999</v>
      </c>
      <c r="T125" s="3">
        <f>ROUND(IF(L125="",AVERAGE(L:L),L125)+IF(M125="",AVERAGE(M:M),M125)+IF(N125="",AVERAGE(N:N),N125)+IF(O125="",AVERAGE(O:O),O125)+IF(P125="",AVERAGE(P:P),P125)+IF(Q125="",AVERAGE(Q:Q),Q125)+IF(R125="",AVERAGE(R:R),R125)+IF(S125="",AVERAGE(S:S),S125), 4-(1+INT(LOG10(ABS(IF(L125="",AVERAGE(L:L),L125)+IF(M125="",AVERAGE(M:M),M125)+IF(N125="",AVERAGE(N:N),N125)+IF(O125="",AVERAGE(O:O),O125)+IF(P125="",AVERAGE(P:P),P125)+IF(Q125="",AVERAGE(Q:Q),Q125)+IF(R125="",AVERAGE(R:R),R125)+IF(S125="",AVERAGE(S:S),S125))))))</f>
        <v>2197</v>
      </c>
    </row>
    <row r="126" spans="1:20" x14ac:dyDescent="0.3">
      <c r="A126" s="1">
        <v>45891.891481481478</v>
      </c>
      <c r="B126">
        <v>1755912224</v>
      </c>
      <c r="C126">
        <v>2.1</v>
      </c>
      <c r="E126">
        <v>3.11666</v>
      </c>
      <c r="F126">
        <v>2.23333</v>
      </c>
      <c r="H126">
        <v>6.8666600000000004</v>
      </c>
      <c r="I126">
        <v>3.1833300000000002</v>
      </c>
      <c r="J126">
        <v>11.15</v>
      </c>
      <c r="L126">
        <f>IF(C126="","",C126*60)</f>
        <v>126</v>
      </c>
      <c r="M126" t="str">
        <f>IF(D126="","",D126*60)</f>
        <v/>
      </c>
      <c r="N126">
        <f>IF(E126="","",E126*60)</f>
        <v>186.99959999999999</v>
      </c>
      <c r="O126">
        <f>IF(F126="","",F126*60)</f>
        <v>133.99979999999999</v>
      </c>
      <c r="P126" t="str">
        <f>IF(G126="","",G126*60)</f>
        <v/>
      </c>
      <c r="Q126">
        <f>IF(H126="","",H126*60)</f>
        <v>411.99960000000004</v>
      </c>
      <c r="R126">
        <f>IF(I126="","",I126*60)</f>
        <v>190.99980000000002</v>
      </c>
      <c r="S126">
        <f>IF(J126="","",J126*60)</f>
        <v>669</v>
      </c>
      <c r="T126" s="3">
        <f>ROUND(IF(L126="",AVERAGE(L:L),L126)+IF(M126="",AVERAGE(M:M),M126)+IF(N126="",AVERAGE(N:N),N126)+IF(O126="",AVERAGE(O:O),O126)+IF(P126="",AVERAGE(P:P),P126)+IF(Q126="",AVERAGE(Q:Q),Q126)+IF(R126="",AVERAGE(R:R),R126)+IF(S126="",AVERAGE(S:S),S126), 4-(1+INT(LOG10(ABS(IF(L126="",AVERAGE(L:L),L126)+IF(M126="",AVERAGE(M:M),M126)+IF(N126="",AVERAGE(N:N),N126)+IF(O126="",AVERAGE(O:O),O126)+IF(P126="",AVERAGE(P:P),P126)+IF(Q126="",AVERAGE(Q:Q),Q126)+IF(R126="",AVERAGE(R:R),R126)+IF(S126="",AVERAGE(S:S),S126))))))</f>
        <v>2253</v>
      </c>
    </row>
    <row r="127" spans="1:20" x14ac:dyDescent="0.3">
      <c r="A127" s="1">
        <v>45891.917384259257</v>
      </c>
      <c r="B127">
        <v>1755914462</v>
      </c>
      <c r="C127">
        <v>2.1333299999999999</v>
      </c>
      <c r="E127">
        <v>3.11666</v>
      </c>
      <c r="F127">
        <v>2.23333</v>
      </c>
      <c r="G127">
        <v>0.65</v>
      </c>
      <c r="H127">
        <v>5.2333299999999996</v>
      </c>
      <c r="I127">
        <v>3.1666599999999998</v>
      </c>
      <c r="J127">
        <v>11.566660000000001</v>
      </c>
      <c r="L127">
        <f>IF(C127="","",C127*60)</f>
        <v>127.99979999999999</v>
      </c>
      <c r="M127" t="str">
        <f>IF(D127="","",D127*60)</f>
        <v/>
      </c>
      <c r="N127">
        <f>IF(E127="","",E127*60)</f>
        <v>186.99959999999999</v>
      </c>
      <c r="O127">
        <f>IF(F127="","",F127*60)</f>
        <v>133.99979999999999</v>
      </c>
      <c r="P127">
        <f>IF(G127="","",G127*60)</f>
        <v>39</v>
      </c>
      <c r="Q127">
        <f>IF(H127="","",H127*60)</f>
        <v>313.99979999999999</v>
      </c>
      <c r="R127">
        <f>IF(I127="","",I127*60)</f>
        <v>189.99959999999999</v>
      </c>
      <c r="S127">
        <f>IF(J127="","",J127*60)</f>
        <v>693.99959999999999</v>
      </c>
      <c r="T127" s="3">
        <f>ROUND(IF(L127="",AVERAGE(L:L),L127)+IF(M127="",AVERAGE(M:M),M127)+IF(N127="",AVERAGE(N:N),N127)+IF(O127="",AVERAGE(O:O),O127)+IF(P127="",AVERAGE(P:P),P127)+IF(Q127="",AVERAGE(Q:Q),Q127)+IF(R127="",AVERAGE(R:R),R127)+IF(S127="",AVERAGE(S:S),S127), 4-(1+INT(LOG10(ABS(IF(L127="",AVERAGE(L:L),L127)+IF(M127="",AVERAGE(M:M),M127)+IF(N127="",AVERAGE(N:N),N127)+IF(O127="",AVERAGE(O:O),O127)+IF(P127="",AVERAGE(P:P),P127)+IF(Q127="",AVERAGE(Q:Q),Q127)+IF(R127="",AVERAGE(R:R),R127)+IF(S127="",AVERAGE(S:S),S127))))))</f>
        <v>2176</v>
      </c>
    </row>
    <row r="128" spans="1:20" x14ac:dyDescent="0.3">
      <c r="A128" s="1">
        <v>45891.947094907409</v>
      </c>
      <c r="B128">
        <v>1755917029</v>
      </c>
      <c r="C128">
        <v>2.8166600000000002</v>
      </c>
      <c r="F128">
        <v>2.4666600000000001</v>
      </c>
      <c r="G128">
        <v>0.66666000000000003</v>
      </c>
      <c r="H128">
        <v>6.4166600000000003</v>
      </c>
      <c r="I128">
        <v>3.7166600000000001</v>
      </c>
      <c r="J128">
        <v>10.883330000000001</v>
      </c>
      <c r="L128">
        <f>IF(C128="","",C128*60)</f>
        <v>168.99960000000002</v>
      </c>
      <c r="M128" t="str">
        <f>IF(D128="","",D128*60)</f>
        <v/>
      </c>
      <c r="N128" t="str">
        <f>IF(E128="","",E128*60)</f>
        <v/>
      </c>
      <c r="O128">
        <f>IF(F128="","",F128*60)</f>
        <v>147.99960000000002</v>
      </c>
      <c r="P128">
        <f>IF(G128="","",G128*60)</f>
        <v>39.999600000000001</v>
      </c>
      <c r="Q128">
        <f>IF(H128="","",H128*60)</f>
        <v>384.99959999999999</v>
      </c>
      <c r="R128">
        <f>IF(I128="","",I128*60)</f>
        <v>222.99960000000002</v>
      </c>
      <c r="S128">
        <f>IF(J128="","",J128*60)</f>
        <v>652.99980000000005</v>
      </c>
      <c r="T128" s="3">
        <f>ROUND(IF(L128="",AVERAGE(L:L),L128)+IF(M128="",AVERAGE(M:M),M128)+IF(N128="",AVERAGE(N:N),N128)+IF(O128="",AVERAGE(O:O),O128)+IF(P128="",AVERAGE(P:P),P128)+IF(Q128="",AVERAGE(Q:Q),Q128)+IF(R128="",AVERAGE(R:R),R128)+IF(S128="",AVERAGE(S:S),S128), 4-(1+INT(LOG10(ABS(IF(L128="",AVERAGE(L:L),L128)+IF(M128="",AVERAGE(M:M),M128)+IF(N128="",AVERAGE(N:N),N128)+IF(O128="",AVERAGE(O:O),O128)+IF(P128="",AVERAGE(P:P),P128)+IF(Q128="",AVERAGE(Q:Q),Q128)+IF(R128="",AVERAGE(R:R),R128)+IF(S128="",AVERAGE(S:S),S128))))))</f>
        <v>2296</v>
      </c>
    </row>
    <row r="129" spans="1:20" x14ac:dyDescent="0.3">
      <c r="A129" s="1">
        <v>45891.973483796297</v>
      </c>
      <c r="B129">
        <v>1755919309</v>
      </c>
      <c r="C129">
        <v>2.2999999999999998</v>
      </c>
      <c r="E129">
        <v>3.5666600000000002</v>
      </c>
      <c r="F129">
        <v>2.4500000000000002</v>
      </c>
      <c r="G129">
        <v>1.3166599999999999</v>
      </c>
      <c r="H129">
        <v>5.1166600000000004</v>
      </c>
      <c r="I129">
        <v>4.25</v>
      </c>
      <c r="J129">
        <v>10.73333</v>
      </c>
      <c r="L129">
        <f>IF(C129="","",C129*60)</f>
        <v>138</v>
      </c>
      <c r="M129" t="str">
        <f>IF(D129="","",D129*60)</f>
        <v/>
      </c>
      <c r="N129">
        <f>IF(E129="","",E129*60)</f>
        <v>213.99960000000002</v>
      </c>
      <c r="O129">
        <f>IF(F129="","",F129*60)</f>
        <v>147</v>
      </c>
      <c r="P129">
        <f>IF(G129="","",G129*60)</f>
        <v>78.999600000000001</v>
      </c>
      <c r="Q129">
        <f>IF(H129="","",H129*60)</f>
        <v>306.99960000000004</v>
      </c>
      <c r="R129">
        <f>IF(I129="","",I129*60)</f>
        <v>255</v>
      </c>
      <c r="S129">
        <f>IF(J129="","",J129*60)</f>
        <v>643.99980000000005</v>
      </c>
      <c r="T129" s="3">
        <f>ROUND(IF(L129="",AVERAGE(L:L),L129)+IF(M129="",AVERAGE(M:M),M129)+IF(N129="",AVERAGE(N:N),N129)+IF(O129="",AVERAGE(O:O),O129)+IF(P129="",AVERAGE(P:P),P129)+IF(Q129="",AVERAGE(Q:Q),Q129)+IF(R129="",AVERAGE(R:R),R129)+IF(S129="",AVERAGE(S:S),S129), 4-(1+INT(LOG10(ABS(IF(L129="",AVERAGE(L:L),L129)+IF(M129="",AVERAGE(M:M),M129)+IF(N129="",AVERAGE(N:N),N129)+IF(O129="",AVERAGE(O:O),O129)+IF(P129="",AVERAGE(P:P),P129)+IF(Q129="",AVERAGE(Q:Q),Q129)+IF(R129="",AVERAGE(R:R),R129)+IF(S129="",AVERAGE(S:S),S129))))))</f>
        <v>2274</v>
      </c>
    </row>
    <row r="130" spans="1:20" x14ac:dyDescent="0.3">
      <c r="A130" s="1">
        <v>45891.99728009259</v>
      </c>
      <c r="B130">
        <v>1755921365</v>
      </c>
      <c r="C130">
        <v>2.0166599999999999</v>
      </c>
      <c r="E130">
        <v>3.4166599999999998</v>
      </c>
      <c r="F130">
        <v>1.8833299999999999</v>
      </c>
      <c r="G130">
        <v>0.65</v>
      </c>
      <c r="H130">
        <v>5.2833300000000003</v>
      </c>
      <c r="I130">
        <v>3.2833299999999999</v>
      </c>
      <c r="J130">
        <v>10.73333</v>
      </c>
      <c r="L130">
        <f>IF(C130="","",C130*60)</f>
        <v>120.99959999999999</v>
      </c>
      <c r="M130" t="str">
        <f>IF(D130="","",D130*60)</f>
        <v/>
      </c>
      <c r="N130">
        <f>IF(E130="","",E130*60)</f>
        <v>204.99959999999999</v>
      </c>
      <c r="O130">
        <f>IF(F130="","",F130*60)</f>
        <v>112.99979999999999</v>
      </c>
      <c r="P130">
        <f>IF(G130="","",G130*60)</f>
        <v>39</v>
      </c>
      <c r="Q130">
        <f>IF(H130="","",H130*60)</f>
        <v>316.99979999999999</v>
      </c>
      <c r="R130">
        <f>IF(I130="","",I130*60)</f>
        <v>196.99979999999999</v>
      </c>
      <c r="S130">
        <f>IF(J130="","",J130*60)</f>
        <v>643.99980000000005</v>
      </c>
      <c r="T130" s="3">
        <f>ROUND(IF(L130="",AVERAGE(L:L),L130)+IF(M130="",AVERAGE(M:M),M130)+IF(N130="",AVERAGE(N:N),N130)+IF(O130="",AVERAGE(O:O),O130)+IF(P130="",AVERAGE(P:P),P130)+IF(Q130="",AVERAGE(Q:Q),Q130)+IF(R130="",AVERAGE(R:R),R130)+IF(S130="",AVERAGE(S:S),S130), 4-(1+INT(LOG10(ABS(IF(L130="",AVERAGE(L:L),L130)+IF(M130="",AVERAGE(M:M),M130)+IF(N130="",AVERAGE(N:N),N130)+IF(O130="",AVERAGE(O:O),O130)+IF(P130="",AVERAGE(P:P),P130)+IF(Q130="",AVERAGE(Q:Q),Q130)+IF(R130="",AVERAGE(R:R),R130)+IF(S130="",AVERAGE(S:S),S130))))))</f>
        <v>2126</v>
      </c>
    </row>
    <row r="131" spans="1:20" x14ac:dyDescent="0.3">
      <c r="A131" s="1">
        <v>45892.021527777775</v>
      </c>
      <c r="B131">
        <v>1755923460</v>
      </c>
      <c r="C131">
        <v>2.0499999999999998</v>
      </c>
      <c r="E131">
        <v>3.2</v>
      </c>
      <c r="F131">
        <v>2.3166600000000002</v>
      </c>
      <c r="G131">
        <v>0.66666000000000003</v>
      </c>
      <c r="H131">
        <v>5.2166600000000001</v>
      </c>
      <c r="I131">
        <v>3.3166600000000002</v>
      </c>
      <c r="J131">
        <v>10.633330000000001</v>
      </c>
      <c r="L131">
        <f t="shared" ref="L131:L174" si="0">IF(C131="","",C131*60)</f>
        <v>122.99999999999999</v>
      </c>
      <c r="M131" t="str">
        <f t="shared" ref="M131:M174" si="1">IF(D131="","",D131*60)</f>
        <v/>
      </c>
      <c r="N131">
        <f t="shared" ref="N131:N174" si="2">IF(E131="","",E131*60)</f>
        <v>192</v>
      </c>
      <c r="O131">
        <f t="shared" ref="O131:O174" si="3">IF(F131="","",F131*60)</f>
        <v>138.99960000000002</v>
      </c>
      <c r="P131">
        <f t="shared" ref="P131:P174" si="4">IF(G131="","",G131*60)</f>
        <v>39.999600000000001</v>
      </c>
      <c r="Q131">
        <f t="shared" ref="Q131:Q174" si="5">IF(H131="","",H131*60)</f>
        <v>312.99959999999999</v>
      </c>
      <c r="R131">
        <f t="shared" ref="R131:R174" si="6">IF(I131="","",I131*60)</f>
        <v>198.99960000000002</v>
      </c>
      <c r="S131">
        <f t="shared" ref="S131:S174" si="7">IF(J131="","",J131*60)</f>
        <v>637.99980000000005</v>
      </c>
      <c r="T131" s="3">
        <f>ROUND(IF(L131="",AVERAGE(L:L),L131)+IF(M131="",AVERAGE(M:M),M131)+IF(N131="",AVERAGE(N:N),N131)+IF(O131="",AVERAGE(O:O),O131)+IF(P131="",AVERAGE(P:P),P131)+IF(Q131="",AVERAGE(Q:Q),Q131)+IF(R131="",AVERAGE(R:R),R131)+IF(S131="",AVERAGE(S:S),S131), 4-(1+INT(LOG10(ABS(IF(L131="",AVERAGE(L:L),L131)+IF(M131="",AVERAGE(M:M),M131)+IF(N131="",AVERAGE(N:N),N131)+IF(O131="",AVERAGE(O:O),O131)+IF(P131="",AVERAGE(P:P),P131)+IF(Q131="",AVERAGE(Q:Q),Q131)+IF(R131="",AVERAGE(R:R),R131)+IF(S131="",AVERAGE(S:S),S131))))))</f>
        <v>2134</v>
      </c>
    </row>
    <row r="132" spans="1:20" x14ac:dyDescent="0.3">
      <c r="A132" s="1">
        <v>45892.044999999998</v>
      </c>
      <c r="B132">
        <v>1755925488</v>
      </c>
      <c r="C132">
        <v>2.0166599999999999</v>
      </c>
      <c r="E132">
        <v>3.1333299999999999</v>
      </c>
      <c r="F132">
        <v>2.2666599999999999</v>
      </c>
      <c r="G132">
        <v>0.65</v>
      </c>
      <c r="H132">
        <v>5.2833300000000003</v>
      </c>
      <c r="I132">
        <v>3.2</v>
      </c>
      <c r="J132">
        <v>10.45</v>
      </c>
      <c r="L132">
        <f t="shared" si="0"/>
        <v>120.99959999999999</v>
      </c>
      <c r="M132" t="str">
        <f t="shared" si="1"/>
        <v/>
      </c>
      <c r="N132">
        <f t="shared" si="2"/>
        <v>187.99979999999999</v>
      </c>
      <c r="O132">
        <f t="shared" si="3"/>
        <v>135.99959999999999</v>
      </c>
      <c r="P132">
        <f t="shared" si="4"/>
        <v>39</v>
      </c>
      <c r="Q132">
        <f t="shared" si="5"/>
        <v>316.99979999999999</v>
      </c>
      <c r="R132">
        <f t="shared" si="6"/>
        <v>192</v>
      </c>
      <c r="S132">
        <f t="shared" si="7"/>
        <v>627</v>
      </c>
      <c r="T132" s="3">
        <f>ROUND(IF(L132="",AVERAGE(L:L),L132)+IF(M132="",AVERAGE(M:M),M132)+IF(N132="",AVERAGE(N:N),N132)+IF(O132="",AVERAGE(O:O),O132)+IF(P132="",AVERAGE(P:P),P132)+IF(Q132="",AVERAGE(Q:Q),Q132)+IF(R132="",AVERAGE(R:R),R132)+IF(S132="",AVERAGE(S:S),S132), 4-(1+INT(LOG10(ABS(IF(L132="",AVERAGE(L:L),L132)+IF(M132="",AVERAGE(M:M),M132)+IF(N132="",AVERAGE(N:N),N132)+IF(O132="",AVERAGE(O:O),O132)+IF(P132="",AVERAGE(P:P),P132)+IF(Q132="",AVERAGE(Q:Q),Q132)+IF(R132="",AVERAGE(R:R),R132)+IF(S132="",AVERAGE(S:S),S132))))))</f>
        <v>2110</v>
      </c>
    </row>
    <row r="133" spans="1:20" x14ac:dyDescent="0.3">
      <c r="A133" s="1">
        <v>45892.069224537037</v>
      </c>
      <c r="B133">
        <v>1755927581</v>
      </c>
      <c r="C133">
        <v>2.1333299999999999</v>
      </c>
      <c r="E133">
        <v>3.1</v>
      </c>
      <c r="F133">
        <v>2.2666599999999999</v>
      </c>
      <c r="G133">
        <v>0.65</v>
      </c>
      <c r="H133">
        <v>5.3</v>
      </c>
      <c r="I133">
        <v>3.3333300000000001</v>
      </c>
      <c r="J133">
        <v>11.18333</v>
      </c>
      <c r="L133">
        <f t="shared" si="0"/>
        <v>127.99979999999999</v>
      </c>
      <c r="M133" t="str">
        <f t="shared" si="1"/>
        <v/>
      </c>
      <c r="N133">
        <f t="shared" si="2"/>
        <v>186</v>
      </c>
      <c r="O133">
        <f t="shared" si="3"/>
        <v>135.99959999999999</v>
      </c>
      <c r="P133">
        <f t="shared" si="4"/>
        <v>39</v>
      </c>
      <c r="Q133">
        <f t="shared" si="5"/>
        <v>318</v>
      </c>
      <c r="R133">
        <f t="shared" si="6"/>
        <v>199.99979999999999</v>
      </c>
      <c r="S133">
        <f t="shared" si="7"/>
        <v>670.99979999999994</v>
      </c>
      <c r="T133" s="3">
        <f>ROUND(IF(L133="",AVERAGE(L:L),L133)+IF(M133="",AVERAGE(M:M),M133)+IF(N133="",AVERAGE(N:N),N133)+IF(O133="",AVERAGE(O:O),O133)+IF(P133="",AVERAGE(P:P),P133)+IF(Q133="",AVERAGE(Q:Q),Q133)+IF(R133="",AVERAGE(R:R),R133)+IF(S133="",AVERAGE(S:S),S133), 4-(1+INT(LOG10(ABS(IF(L133="",AVERAGE(L:L),L133)+IF(M133="",AVERAGE(M:M),M133)+IF(N133="",AVERAGE(N:N),N133)+IF(O133="",AVERAGE(O:O),O133)+IF(P133="",AVERAGE(P:P),P133)+IF(Q133="",AVERAGE(Q:Q),Q133)+IF(R133="",AVERAGE(R:R),R133)+IF(S133="",AVERAGE(S:S),S133))))))</f>
        <v>2168</v>
      </c>
    </row>
    <row r="134" spans="1:20" x14ac:dyDescent="0.3">
      <c r="A134" s="1">
        <v>45892.092407407406</v>
      </c>
      <c r="B134">
        <v>1755929584</v>
      </c>
      <c r="C134">
        <v>2.0666600000000002</v>
      </c>
      <c r="E134">
        <v>3.1666599999999998</v>
      </c>
      <c r="F134">
        <v>1.9</v>
      </c>
      <c r="G134">
        <v>0.66666000000000003</v>
      </c>
      <c r="H134">
        <v>5.1166600000000004</v>
      </c>
      <c r="I134">
        <v>3.2166600000000001</v>
      </c>
      <c r="J134">
        <v>10.55</v>
      </c>
      <c r="L134">
        <f t="shared" si="0"/>
        <v>123.99960000000002</v>
      </c>
      <c r="M134" t="str">
        <f t="shared" si="1"/>
        <v/>
      </c>
      <c r="N134">
        <f t="shared" si="2"/>
        <v>189.99959999999999</v>
      </c>
      <c r="O134">
        <f t="shared" si="3"/>
        <v>114</v>
      </c>
      <c r="P134">
        <f t="shared" si="4"/>
        <v>39.999600000000001</v>
      </c>
      <c r="Q134">
        <f t="shared" si="5"/>
        <v>306.99960000000004</v>
      </c>
      <c r="R134">
        <f t="shared" si="6"/>
        <v>192.99960000000002</v>
      </c>
      <c r="S134">
        <f t="shared" si="7"/>
        <v>633</v>
      </c>
      <c r="T134" s="3">
        <f>ROUND(IF(L134="",AVERAGE(L:L),L134)+IF(M134="",AVERAGE(M:M),M134)+IF(N134="",AVERAGE(N:N),N134)+IF(O134="",AVERAGE(O:O),O134)+IF(P134="",AVERAGE(P:P),P134)+IF(Q134="",AVERAGE(Q:Q),Q134)+IF(R134="",AVERAGE(R:R),R134)+IF(S134="",AVERAGE(S:S),S134), 4-(1+INT(LOG10(ABS(IF(L134="",AVERAGE(L:L),L134)+IF(M134="",AVERAGE(M:M),M134)+IF(N134="",AVERAGE(N:N),N134)+IF(O134="",AVERAGE(O:O),O134)+IF(P134="",AVERAGE(P:P),P134)+IF(Q134="",AVERAGE(Q:Q),Q134)+IF(R134="",AVERAGE(R:R),R134)+IF(S134="",AVERAGE(S:S),S134))))))</f>
        <v>2091</v>
      </c>
    </row>
    <row r="135" spans="1:20" x14ac:dyDescent="0.3">
      <c r="A135" s="1">
        <v>45892.116493055553</v>
      </c>
      <c r="B135">
        <v>1755931665</v>
      </c>
      <c r="C135">
        <v>2.2666599999999999</v>
      </c>
      <c r="E135">
        <v>3.1833300000000002</v>
      </c>
      <c r="F135">
        <v>2.25</v>
      </c>
      <c r="G135">
        <v>0.7</v>
      </c>
      <c r="H135">
        <v>5.2833300000000003</v>
      </c>
      <c r="I135">
        <v>3.5</v>
      </c>
      <c r="J135">
        <v>10.466659999999999</v>
      </c>
      <c r="L135">
        <f t="shared" si="0"/>
        <v>135.99959999999999</v>
      </c>
      <c r="M135" t="str">
        <f t="shared" si="1"/>
        <v/>
      </c>
      <c r="N135">
        <f t="shared" si="2"/>
        <v>190.99980000000002</v>
      </c>
      <c r="O135">
        <f t="shared" si="3"/>
        <v>135</v>
      </c>
      <c r="P135">
        <f t="shared" si="4"/>
        <v>42</v>
      </c>
      <c r="Q135">
        <f t="shared" si="5"/>
        <v>316.99979999999999</v>
      </c>
      <c r="R135">
        <f t="shared" si="6"/>
        <v>210</v>
      </c>
      <c r="S135">
        <f t="shared" si="7"/>
        <v>627.99959999999999</v>
      </c>
      <c r="T135" s="3">
        <f>ROUND(IF(L135="",AVERAGE(L:L),L135)+IF(M135="",AVERAGE(M:M),M135)+IF(N135="",AVERAGE(N:N),N135)+IF(O135="",AVERAGE(O:O),O135)+IF(P135="",AVERAGE(P:P),P135)+IF(Q135="",AVERAGE(Q:Q),Q135)+IF(R135="",AVERAGE(R:R),R135)+IF(S135="",AVERAGE(S:S),S135), 4-(1+INT(LOG10(ABS(IF(L135="",AVERAGE(L:L),L135)+IF(M135="",AVERAGE(M:M),M135)+IF(N135="",AVERAGE(N:N),N135)+IF(O135="",AVERAGE(O:O),O135)+IF(P135="",AVERAGE(P:P),P135)+IF(Q135="",AVERAGE(Q:Q),Q135)+IF(R135="",AVERAGE(R:R),R135)+IF(S135="",AVERAGE(S:S),S135))))))</f>
        <v>2149</v>
      </c>
    </row>
    <row r="136" spans="1:20" x14ac:dyDescent="0.3">
      <c r="A136" s="1">
        <v>45892.140266203707</v>
      </c>
      <c r="B136">
        <v>1755933719</v>
      </c>
      <c r="C136">
        <v>2.1333299999999999</v>
      </c>
      <c r="E136">
        <v>3.11666</v>
      </c>
      <c r="F136">
        <v>2.2999999999999998</v>
      </c>
      <c r="G136">
        <v>0.66666000000000003</v>
      </c>
      <c r="H136">
        <v>5.1666600000000003</v>
      </c>
      <c r="I136">
        <v>3.2166600000000001</v>
      </c>
      <c r="J136">
        <v>11.066660000000001</v>
      </c>
      <c r="L136">
        <f t="shared" si="0"/>
        <v>127.99979999999999</v>
      </c>
      <c r="M136" t="str">
        <f t="shared" si="1"/>
        <v/>
      </c>
      <c r="N136">
        <f t="shared" si="2"/>
        <v>186.99959999999999</v>
      </c>
      <c r="O136">
        <f t="shared" si="3"/>
        <v>138</v>
      </c>
      <c r="P136">
        <f t="shared" si="4"/>
        <v>39.999600000000001</v>
      </c>
      <c r="Q136">
        <f t="shared" si="5"/>
        <v>309.99959999999999</v>
      </c>
      <c r="R136">
        <f t="shared" si="6"/>
        <v>192.99960000000002</v>
      </c>
      <c r="S136">
        <f t="shared" si="7"/>
        <v>663.99959999999999</v>
      </c>
      <c r="T136" s="3">
        <f>ROUND(IF(L136="",AVERAGE(L:L),L136)+IF(M136="",AVERAGE(M:M),M136)+IF(N136="",AVERAGE(N:N),N136)+IF(O136="",AVERAGE(O:O),O136)+IF(P136="",AVERAGE(P:P),P136)+IF(Q136="",AVERAGE(Q:Q),Q136)+IF(R136="",AVERAGE(R:R),R136)+IF(S136="",AVERAGE(S:S),S136), 4-(1+INT(LOG10(ABS(IF(L136="",AVERAGE(L:L),L136)+IF(M136="",AVERAGE(M:M),M136)+IF(N136="",AVERAGE(N:N),N136)+IF(O136="",AVERAGE(O:O),O136)+IF(P136="",AVERAGE(P:P),P136)+IF(Q136="",AVERAGE(Q:Q),Q136)+IF(R136="",AVERAGE(R:R),R136)+IF(S136="",AVERAGE(S:S),S136))))))</f>
        <v>2150</v>
      </c>
    </row>
    <row r="137" spans="1:20" x14ac:dyDescent="0.3">
      <c r="A137" s="1">
        <v>45892.164282407408</v>
      </c>
      <c r="B137">
        <v>1755935794</v>
      </c>
      <c r="C137">
        <v>2.1</v>
      </c>
      <c r="E137">
        <v>3.15</v>
      </c>
      <c r="F137">
        <v>2.2666599999999999</v>
      </c>
      <c r="G137">
        <v>0.65</v>
      </c>
      <c r="H137">
        <v>5.2333299999999996</v>
      </c>
      <c r="I137">
        <v>3.1833300000000002</v>
      </c>
      <c r="J137">
        <v>10.716659999999999</v>
      </c>
      <c r="L137">
        <f t="shared" si="0"/>
        <v>126</v>
      </c>
      <c r="M137" t="str">
        <f t="shared" si="1"/>
        <v/>
      </c>
      <c r="N137">
        <f t="shared" si="2"/>
        <v>189</v>
      </c>
      <c r="O137">
        <f t="shared" si="3"/>
        <v>135.99959999999999</v>
      </c>
      <c r="P137">
        <f t="shared" si="4"/>
        <v>39</v>
      </c>
      <c r="Q137">
        <f t="shared" si="5"/>
        <v>313.99979999999999</v>
      </c>
      <c r="R137">
        <f t="shared" si="6"/>
        <v>190.99980000000002</v>
      </c>
      <c r="S137">
        <f t="shared" si="7"/>
        <v>642.99959999999999</v>
      </c>
      <c r="T137" s="3">
        <f>ROUND(IF(L137="",AVERAGE(L:L),L137)+IF(M137="",AVERAGE(M:M),M137)+IF(N137="",AVERAGE(N:N),N137)+IF(O137="",AVERAGE(O:O),O137)+IF(P137="",AVERAGE(P:P),P137)+IF(Q137="",AVERAGE(Q:Q),Q137)+IF(R137="",AVERAGE(R:R),R137)+IF(S137="",AVERAGE(S:S),S137), 4-(1+INT(LOG10(ABS(IF(L137="",AVERAGE(L:L),L137)+IF(M137="",AVERAGE(M:M),M137)+IF(N137="",AVERAGE(N:N),N137)+IF(O137="",AVERAGE(O:O),O137)+IF(P137="",AVERAGE(P:P),P137)+IF(Q137="",AVERAGE(Q:Q),Q137)+IF(R137="",AVERAGE(R:R),R137)+IF(S137="",AVERAGE(S:S),S137))))))</f>
        <v>2128</v>
      </c>
    </row>
    <row r="138" spans="1:20" x14ac:dyDescent="0.3">
      <c r="A138" s="1">
        <v>45892.190081018518</v>
      </c>
      <c r="B138">
        <v>1755938023</v>
      </c>
      <c r="C138">
        <v>2.2166600000000001</v>
      </c>
      <c r="E138">
        <v>3.61666</v>
      </c>
      <c r="F138">
        <v>2.4</v>
      </c>
      <c r="G138">
        <v>0.8</v>
      </c>
      <c r="H138">
        <v>5.4</v>
      </c>
      <c r="I138">
        <v>3.5166599999999999</v>
      </c>
      <c r="J138">
        <v>11.41666</v>
      </c>
      <c r="L138">
        <f t="shared" si="0"/>
        <v>132.99960000000002</v>
      </c>
      <c r="M138" t="str">
        <f t="shared" si="1"/>
        <v/>
      </c>
      <c r="N138">
        <f t="shared" si="2"/>
        <v>216.99959999999999</v>
      </c>
      <c r="O138">
        <f t="shared" si="3"/>
        <v>144</v>
      </c>
      <c r="P138">
        <f t="shared" si="4"/>
        <v>48</v>
      </c>
      <c r="Q138">
        <f t="shared" si="5"/>
        <v>324</v>
      </c>
      <c r="R138">
        <f t="shared" si="6"/>
        <v>210.99959999999999</v>
      </c>
      <c r="S138">
        <f t="shared" si="7"/>
        <v>684.99959999999999</v>
      </c>
      <c r="T138" s="3">
        <f>ROUND(IF(L138="",AVERAGE(L:L),L138)+IF(M138="",AVERAGE(M:M),M138)+IF(N138="",AVERAGE(N:N),N138)+IF(O138="",AVERAGE(O:O),O138)+IF(P138="",AVERAGE(P:P),P138)+IF(Q138="",AVERAGE(Q:Q),Q138)+IF(R138="",AVERAGE(R:R),R138)+IF(S138="",AVERAGE(S:S),S138), 4-(1+INT(LOG10(ABS(IF(L138="",AVERAGE(L:L),L138)+IF(M138="",AVERAGE(M:M),M138)+IF(N138="",AVERAGE(N:N),N138)+IF(O138="",AVERAGE(O:O),O138)+IF(P138="",AVERAGE(P:P),P138)+IF(Q138="",AVERAGE(Q:Q),Q138)+IF(R138="",AVERAGE(R:R),R138)+IF(S138="",AVERAGE(S:S),S138))))))</f>
        <v>2252</v>
      </c>
    </row>
    <row r="139" spans="1:20" x14ac:dyDescent="0.3">
      <c r="A139" s="1">
        <v>45892.220381944448</v>
      </c>
      <c r="B139">
        <v>1755940641</v>
      </c>
      <c r="C139">
        <v>2.36666</v>
      </c>
      <c r="E139">
        <v>3.55</v>
      </c>
      <c r="F139">
        <v>2.5333299999999999</v>
      </c>
      <c r="G139">
        <v>0.75</v>
      </c>
      <c r="H139">
        <v>5.25</v>
      </c>
      <c r="I139">
        <v>3.6</v>
      </c>
      <c r="J139">
        <v>12.316660000000001</v>
      </c>
      <c r="L139">
        <f t="shared" si="0"/>
        <v>141.99959999999999</v>
      </c>
      <c r="M139" t="str">
        <f t="shared" si="1"/>
        <v/>
      </c>
      <c r="N139">
        <f t="shared" si="2"/>
        <v>213</v>
      </c>
      <c r="O139">
        <f t="shared" si="3"/>
        <v>151.99979999999999</v>
      </c>
      <c r="P139">
        <f t="shared" si="4"/>
        <v>45</v>
      </c>
      <c r="Q139">
        <f t="shared" si="5"/>
        <v>315</v>
      </c>
      <c r="R139">
        <f t="shared" si="6"/>
        <v>216</v>
      </c>
      <c r="S139">
        <f t="shared" si="7"/>
        <v>738.99959999999999</v>
      </c>
      <c r="T139" s="3">
        <f>ROUND(IF(L139="",AVERAGE(L:L),L139)+IF(M139="",AVERAGE(M:M),M139)+IF(N139="",AVERAGE(N:N),N139)+IF(O139="",AVERAGE(O:O),O139)+IF(P139="",AVERAGE(P:P),P139)+IF(Q139="",AVERAGE(Q:Q),Q139)+IF(R139="",AVERAGE(R:R),R139)+IF(S139="",AVERAGE(S:S),S139), 4-(1+INT(LOG10(ABS(IF(L139="",AVERAGE(L:L),L139)+IF(M139="",AVERAGE(M:M),M139)+IF(N139="",AVERAGE(N:N),N139)+IF(O139="",AVERAGE(O:O),O139)+IF(P139="",AVERAGE(P:P),P139)+IF(Q139="",AVERAGE(Q:Q),Q139)+IF(R139="",AVERAGE(R:R),R139)+IF(S139="",AVERAGE(S:S),S139))))))</f>
        <v>2312</v>
      </c>
    </row>
    <row r="140" spans="1:20" x14ac:dyDescent="0.3">
      <c r="A140" s="1">
        <v>45892.244606481479</v>
      </c>
      <c r="B140">
        <v>1755942734</v>
      </c>
      <c r="C140">
        <v>2.0666600000000002</v>
      </c>
      <c r="E140">
        <v>3.1333299999999999</v>
      </c>
      <c r="F140">
        <v>2.23333</v>
      </c>
      <c r="G140">
        <v>0.65</v>
      </c>
      <c r="H140">
        <v>5.0833300000000001</v>
      </c>
      <c r="I140">
        <v>3.2</v>
      </c>
      <c r="J140">
        <v>10.566660000000001</v>
      </c>
      <c r="L140">
        <f t="shared" si="0"/>
        <v>123.99960000000002</v>
      </c>
      <c r="M140" t="str">
        <f t="shared" si="1"/>
        <v/>
      </c>
      <c r="N140">
        <f t="shared" si="2"/>
        <v>187.99979999999999</v>
      </c>
      <c r="O140">
        <f t="shared" si="3"/>
        <v>133.99979999999999</v>
      </c>
      <c r="P140">
        <f t="shared" si="4"/>
        <v>39</v>
      </c>
      <c r="Q140">
        <f t="shared" si="5"/>
        <v>304.99979999999999</v>
      </c>
      <c r="R140">
        <f t="shared" si="6"/>
        <v>192</v>
      </c>
      <c r="S140">
        <f t="shared" si="7"/>
        <v>633.99959999999999</v>
      </c>
      <c r="T140" s="3">
        <f>ROUND(IF(L140="",AVERAGE(L:L),L140)+IF(M140="",AVERAGE(M:M),M140)+IF(N140="",AVERAGE(N:N),N140)+IF(O140="",AVERAGE(O:O),O140)+IF(P140="",AVERAGE(P:P),P140)+IF(Q140="",AVERAGE(Q:Q),Q140)+IF(R140="",AVERAGE(R:R),R140)+IF(S140="",AVERAGE(S:S),S140), 4-(1+INT(LOG10(ABS(IF(L140="",AVERAGE(L:L),L140)+IF(M140="",AVERAGE(M:M),M140)+IF(N140="",AVERAGE(N:N),N140)+IF(O140="",AVERAGE(O:O),O140)+IF(P140="",AVERAGE(P:P),P140)+IF(Q140="",AVERAGE(Q:Q),Q140)+IF(R140="",AVERAGE(R:R),R140)+IF(S140="",AVERAGE(S:S),S140))))))</f>
        <v>2106</v>
      </c>
    </row>
    <row r="141" spans="1:20" x14ac:dyDescent="0.3">
      <c r="A141" s="1">
        <v>45892.269224537034</v>
      </c>
      <c r="B141">
        <v>1755944861</v>
      </c>
      <c r="C141">
        <v>2.1333299999999999</v>
      </c>
      <c r="E141">
        <v>3.15</v>
      </c>
      <c r="F141">
        <v>2.4166599999999998</v>
      </c>
      <c r="G141">
        <v>0.68332999999999999</v>
      </c>
      <c r="H141">
        <v>5.5166599999999999</v>
      </c>
      <c r="I141">
        <v>3.23333</v>
      </c>
      <c r="J141">
        <v>11.15</v>
      </c>
      <c r="L141">
        <f t="shared" si="0"/>
        <v>127.99979999999999</v>
      </c>
      <c r="M141" t="str">
        <f t="shared" si="1"/>
        <v/>
      </c>
      <c r="N141">
        <f t="shared" si="2"/>
        <v>189</v>
      </c>
      <c r="O141">
        <f t="shared" si="3"/>
        <v>144.99959999999999</v>
      </c>
      <c r="P141">
        <f t="shared" si="4"/>
        <v>40.9998</v>
      </c>
      <c r="Q141">
        <f t="shared" si="5"/>
        <v>330.99959999999999</v>
      </c>
      <c r="R141">
        <f t="shared" si="6"/>
        <v>193.99979999999999</v>
      </c>
      <c r="S141">
        <f t="shared" si="7"/>
        <v>669</v>
      </c>
      <c r="T141" s="3">
        <f>ROUND(IF(L141="",AVERAGE(L:L),L141)+IF(M141="",AVERAGE(M:M),M141)+IF(N141="",AVERAGE(N:N),N141)+IF(O141="",AVERAGE(O:O),O141)+IF(P141="",AVERAGE(P:P),P141)+IF(Q141="",AVERAGE(Q:Q),Q141)+IF(R141="",AVERAGE(R:R),R141)+IF(S141="",AVERAGE(S:S),S141), 4-(1+INT(LOG10(ABS(IF(L141="",AVERAGE(L:L),L141)+IF(M141="",AVERAGE(M:M),M141)+IF(N141="",AVERAGE(N:N),N141)+IF(O141="",AVERAGE(O:O),O141)+IF(P141="",AVERAGE(P:P),P141)+IF(Q141="",AVERAGE(Q:Q),Q141)+IF(R141="",AVERAGE(R:R),R141)+IF(S141="",AVERAGE(S:S),S141))))))</f>
        <v>2187</v>
      </c>
    </row>
    <row r="142" spans="1:20" x14ac:dyDescent="0.3">
      <c r="A142" s="1">
        <v>45892.292812500003</v>
      </c>
      <c r="B142">
        <v>1755946899</v>
      </c>
      <c r="C142">
        <v>2.0833300000000001</v>
      </c>
      <c r="E142">
        <v>3.15</v>
      </c>
      <c r="F142">
        <v>2.2833299999999999</v>
      </c>
      <c r="G142">
        <v>0.68332999999999999</v>
      </c>
      <c r="H142">
        <v>5.1666600000000003</v>
      </c>
      <c r="I142">
        <v>3.2166600000000001</v>
      </c>
      <c r="J142">
        <v>10.43333</v>
      </c>
      <c r="L142">
        <f t="shared" si="0"/>
        <v>124.99980000000001</v>
      </c>
      <c r="M142" t="str">
        <f t="shared" si="1"/>
        <v/>
      </c>
      <c r="N142">
        <f t="shared" si="2"/>
        <v>189</v>
      </c>
      <c r="O142">
        <f t="shared" si="3"/>
        <v>136.99979999999999</v>
      </c>
      <c r="P142">
        <f t="shared" si="4"/>
        <v>40.9998</v>
      </c>
      <c r="Q142">
        <f t="shared" si="5"/>
        <v>309.99959999999999</v>
      </c>
      <c r="R142">
        <f t="shared" si="6"/>
        <v>192.99960000000002</v>
      </c>
      <c r="S142">
        <f t="shared" si="7"/>
        <v>625.99979999999994</v>
      </c>
      <c r="T142" s="3">
        <f>ROUND(IF(L142="",AVERAGE(L:L),L142)+IF(M142="",AVERAGE(M:M),M142)+IF(N142="",AVERAGE(N:N),N142)+IF(O142="",AVERAGE(O:O),O142)+IF(P142="",AVERAGE(P:P),P142)+IF(Q142="",AVERAGE(Q:Q),Q142)+IF(R142="",AVERAGE(R:R),R142)+IF(S142="",AVERAGE(S:S),S142), 4-(1+INT(LOG10(ABS(IF(L142="",AVERAGE(L:L),L142)+IF(M142="",AVERAGE(M:M),M142)+IF(N142="",AVERAGE(N:N),N142)+IF(O142="",AVERAGE(O:O),O142)+IF(P142="",AVERAGE(P:P),P142)+IF(Q142="",AVERAGE(Q:Q),Q142)+IF(R142="",AVERAGE(R:R),R142)+IF(S142="",AVERAGE(S:S),S142))))))</f>
        <v>2111</v>
      </c>
    </row>
    <row r="143" spans="1:20" x14ac:dyDescent="0.3">
      <c r="A143" s="1">
        <v>45892.317187499997</v>
      </c>
      <c r="B143">
        <v>1755949005</v>
      </c>
      <c r="C143">
        <v>2.11666</v>
      </c>
      <c r="E143">
        <v>3.1833300000000002</v>
      </c>
      <c r="F143">
        <v>2.2666599999999999</v>
      </c>
      <c r="G143">
        <v>0.66666000000000003</v>
      </c>
      <c r="H143">
        <v>5.0833300000000001</v>
      </c>
      <c r="I143">
        <v>3.3166600000000002</v>
      </c>
      <c r="J143">
        <v>11.16666</v>
      </c>
      <c r="L143">
        <f t="shared" si="0"/>
        <v>126.9996</v>
      </c>
      <c r="M143" t="str">
        <f t="shared" si="1"/>
        <v/>
      </c>
      <c r="N143">
        <f t="shared" si="2"/>
        <v>190.99980000000002</v>
      </c>
      <c r="O143">
        <f t="shared" si="3"/>
        <v>135.99959999999999</v>
      </c>
      <c r="P143">
        <f t="shared" si="4"/>
        <v>39.999600000000001</v>
      </c>
      <c r="Q143">
        <f t="shared" si="5"/>
        <v>304.99979999999999</v>
      </c>
      <c r="R143">
        <f t="shared" si="6"/>
        <v>198.99960000000002</v>
      </c>
      <c r="S143">
        <f t="shared" si="7"/>
        <v>669.99959999999999</v>
      </c>
      <c r="T143" s="3">
        <f>ROUND(IF(L143="",AVERAGE(L:L),L143)+IF(M143="",AVERAGE(M:M),M143)+IF(N143="",AVERAGE(N:N),N143)+IF(O143="",AVERAGE(O:O),O143)+IF(P143="",AVERAGE(P:P),P143)+IF(Q143="",AVERAGE(Q:Q),Q143)+IF(R143="",AVERAGE(R:R),R143)+IF(S143="",AVERAGE(S:S),S143), 4-(1+INT(LOG10(ABS(IF(L143="",AVERAGE(L:L),L143)+IF(M143="",AVERAGE(M:M),M143)+IF(N143="",AVERAGE(N:N),N143)+IF(O143="",AVERAGE(O:O),O143)+IF(P143="",AVERAGE(P:P),P143)+IF(Q143="",AVERAGE(Q:Q),Q143)+IF(R143="",AVERAGE(R:R),R143)+IF(S143="",AVERAGE(S:S),S143))))))</f>
        <v>2158</v>
      </c>
    </row>
    <row r="144" spans="1:20" x14ac:dyDescent="0.3">
      <c r="A144" s="1">
        <v>45892.341979166667</v>
      </c>
      <c r="B144">
        <v>1755951147</v>
      </c>
      <c r="C144">
        <v>2.0666600000000002</v>
      </c>
      <c r="E144">
        <v>3.2</v>
      </c>
      <c r="F144">
        <v>2.2833299999999999</v>
      </c>
      <c r="G144">
        <v>0.68332999999999999</v>
      </c>
      <c r="H144">
        <v>5.2666599999999999</v>
      </c>
      <c r="I144">
        <v>3.55</v>
      </c>
      <c r="J144">
        <v>11.466659999999999</v>
      </c>
      <c r="L144">
        <f t="shared" si="0"/>
        <v>123.99960000000002</v>
      </c>
      <c r="M144" t="str">
        <f t="shared" si="1"/>
        <v/>
      </c>
      <c r="N144">
        <f t="shared" si="2"/>
        <v>192</v>
      </c>
      <c r="O144">
        <f t="shared" si="3"/>
        <v>136.99979999999999</v>
      </c>
      <c r="P144">
        <f t="shared" si="4"/>
        <v>40.9998</v>
      </c>
      <c r="Q144">
        <f t="shared" si="5"/>
        <v>315.99959999999999</v>
      </c>
      <c r="R144">
        <f t="shared" si="6"/>
        <v>213</v>
      </c>
      <c r="S144">
        <f t="shared" si="7"/>
        <v>687.99959999999999</v>
      </c>
      <c r="T144" s="3">
        <f>ROUND(IF(L144="",AVERAGE(L:L),L144)+IF(M144="",AVERAGE(M:M),M144)+IF(N144="",AVERAGE(N:N),N144)+IF(O144="",AVERAGE(O:O),O144)+IF(P144="",AVERAGE(P:P),P144)+IF(Q144="",AVERAGE(Q:Q),Q144)+IF(R144="",AVERAGE(R:R),R144)+IF(S144="",AVERAGE(S:S),S144), 4-(1+INT(LOG10(ABS(IF(L144="",AVERAGE(L:L),L144)+IF(M144="",AVERAGE(M:M),M144)+IF(N144="",AVERAGE(N:N),N144)+IF(O144="",AVERAGE(O:O),O144)+IF(P144="",AVERAGE(P:P),P144)+IF(Q144="",AVERAGE(Q:Q),Q144)+IF(R144="",AVERAGE(R:R),R144)+IF(S144="",AVERAGE(S:S),S144))))))</f>
        <v>2201</v>
      </c>
    </row>
    <row r="145" spans="1:20" x14ac:dyDescent="0.3">
      <c r="A145" s="1">
        <v>45892.365810185183</v>
      </c>
      <c r="B145">
        <v>1755953206</v>
      </c>
      <c r="C145">
        <v>2.0333299999999999</v>
      </c>
      <c r="E145">
        <v>3.1833300000000002</v>
      </c>
      <c r="F145">
        <v>2.3166600000000002</v>
      </c>
      <c r="G145">
        <v>0.68332999999999999</v>
      </c>
      <c r="H145">
        <v>5.2666599999999999</v>
      </c>
      <c r="I145">
        <v>3.3</v>
      </c>
      <c r="J145">
        <v>10.33333</v>
      </c>
      <c r="L145">
        <f t="shared" si="0"/>
        <v>121.99979999999999</v>
      </c>
      <c r="M145" t="str">
        <f t="shared" si="1"/>
        <v/>
      </c>
      <c r="N145">
        <f t="shared" si="2"/>
        <v>190.99980000000002</v>
      </c>
      <c r="O145">
        <f t="shared" si="3"/>
        <v>138.99960000000002</v>
      </c>
      <c r="P145">
        <f t="shared" si="4"/>
        <v>40.9998</v>
      </c>
      <c r="Q145">
        <f t="shared" si="5"/>
        <v>315.99959999999999</v>
      </c>
      <c r="R145">
        <f t="shared" si="6"/>
        <v>198</v>
      </c>
      <c r="S145">
        <f t="shared" si="7"/>
        <v>619.99980000000005</v>
      </c>
      <c r="T145" s="3">
        <f>ROUND(IF(L145="",AVERAGE(L:L),L145)+IF(M145="",AVERAGE(M:M),M145)+IF(N145="",AVERAGE(N:N),N145)+IF(O145="",AVERAGE(O:O),O145)+IF(P145="",AVERAGE(P:P),P145)+IF(Q145="",AVERAGE(Q:Q),Q145)+IF(R145="",AVERAGE(R:R),R145)+IF(S145="",AVERAGE(S:S),S145), 4-(1+INT(LOG10(ABS(IF(L145="",AVERAGE(L:L),L145)+IF(M145="",AVERAGE(M:M),M145)+IF(N145="",AVERAGE(N:N),N145)+IF(O145="",AVERAGE(O:O),O145)+IF(P145="",AVERAGE(P:P),P145)+IF(Q145="",AVERAGE(Q:Q),Q145)+IF(R145="",AVERAGE(R:R),R145)+IF(S145="",AVERAGE(S:S),S145))))))</f>
        <v>2117</v>
      </c>
    </row>
    <row r="146" spans="1:20" x14ac:dyDescent="0.3">
      <c r="A146" s="1">
        <v>45892.391099537039</v>
      </c>
      <c r="B146">
        <v>1755955391</v>
      </c>
      <c r="C146">
        <v>2.1333299999999999</v>
      </c>
      <c r="E146">
        <v>3.1833300000000002</v>
      </c>
      <c r="F146">
        <v>2.2999999999999998</v>
      </c>
      <c r="G146">
        <v>0.73333000000000004</v>
      </c>
      <c r="H146">
        <v>6.05</v>
      </c>
      <c r="I146">
        <v>3.3833299999999999</v>
      </c>
      <c r="J146">
        <v>11.466659999999999</v>
      </c>
      <c r="L146">
        <f t="shared" si="0"/>
        <v>127.99979999999999</v>
      </c>
      <c r="M146" t="str">
        <f t="shared" si="1"/>
        <v/>
      </c>
      <c r="N146">
        <f t="shared" si="2"/>
        <v>190.99980000000002</v>
      </c>
      <c r="O146">
        <f t="shared" si="3"/>
        <v>138</v>
      </c>
      <c r="P146">
        <f t="shared" si="4"/>
        <v>43.9998</v>
      </c>
      <c r="Q146">
        <f t="shared" si="5"/>
        <v>363</v>
      </c>
      <c r="R146">
        <f t="shared" si="6"/>
        <v>202.99979999999999</v>
      </c>
      <c r="S146">
        <f t="shared" si="7"/>
        <v>687.99959999999999</v>
      </c>
      <c r="T146" s="3">
        <f>ROUND(IF(L146="",AVERAGE(L:L),L146)+IF(M146="",AVERAGE(M:M),M146)+IF(N146="",AVERAGE(N:N),N146)+IF(O146="",AVERAGE(O:O),O146)+IF(P146="",AVERAGE(P:P),P146)+IF(Q146="",AVERAGE(Q:Q),Q146)+IF(R146="",AVERAGE(R:R),R146)+IF(S146="",AVERAGE(S:S),S146), 4-(1+INT(LOG10(ABS(IF(L146="",AVERAGE(L:L),L146)+IF(M146="",AVERAGE(M:M),M146)+IF(N146="",AVERAGE(N:N),N146)+IF(O146="",AVERAGE(O:O),O146)+IF(P146="",AVERAGE(P:P),P146)+IF(Q146="",AVERAGE(Q:Q),Q146)+IF(R146="",AVERAGE(R:R),R146)+IF(S146="",AVERAGE(S:S),S146))))))</f>
        <v>2245</v>
      </c>
    </row>
    <row r="147" spans="1:20" x14ac:dyDescent="0.3">
      <c r="A147" s="1">
        <v>45892.416504629633</v>
      </c>
      <c r="B147">
        <v>1755957586</v>
      </c>
      <c r="C147">
        <v>2.15</v>
      </c>
      <c r="E147">
        <v>3.15</v>
      </c>
      <c r="F147">
        <v>2.2666599999999999</v>
      </c>
      <c r="G147">
        <v>0.66666000000000003</v>
      </c>
      <c r="H147">
        <v>5.1666600000000003</v>
      </c>
      <c r="I147">
        <v>3.1833300000000002</v>
      </c>
      <c r="J147">
        <v>10.35</v>
      </c>
      <c r="L147">
        <f t="shared" si="0"/>
        <v>129</v>
      </c>
      <c r="M147" t="str">
        <f t="shared" si="1"/>
        <v/>
      </c>
      <c r="N147">
        <f t="shared" si="2"/>
        <v>189</v>
      </c>
      <c r="O147">
        <f t="shared" si="3"/>
        <v>135.99959999999999</v>
      </c>
      <c r="P147">
        <f t="shared" si="4"/>
        <v>39.999600000000001</v>
      </c>
      <c r="Q147">
        <f t="shared" si="5"/>
        <v>309.99959999999999</v>
      </c>
      <c r="R147">
        <f t="shared" si="6"/>
        <v>190.99980000000002</v>
      </c>
      <c r="S147">
        <f t="shared" si="7"/>
        <v>621</v>
      </c>
      <c r="T147" s="3">
        <f>ROUND(IF(L147="",AVERAGE(L:L),L147)+IF(M147="",AVERAGE(M:M),M147)+IF(N147="",AVERAGE(N:N),N147)+IF(O147="",AVERAGE(O:O),O147)+IF(P147="",AVERAGE(P:P),P147)+IF(Q147="",AVERAGE(Q:Q),Q147)+IF(R147="",AVERAGE(R:R),R147)+IF(S147="",AVERAGE(S:S),S147), 4-(1+INT(LOG10(ABS(IF(L147="",AVERAGE(L:L),L147)+IF(M147="",AVERAGE(M:M),M147)+IF(N147="",AVERAGE(N:N),N147)+IF(O147="",AVERAGE(O:O),O147)+IF(P147="",AVERAGE(P:P),P147)+IF(Q147="",AVERAGE(Q:Q),Q147)+IF(R147="",AVERAGE(R:R),R147)+IF(S147="",AVERAGE(S:S),S147))))))</f>
        <v>2106</v>
      </c>
    </row>
    <row r="148" spans="1:20" x14ac:dyDescent="0.3">
      <c r="A148" s="1">
        <v>45892.442476851851</v>
      </c>
      <c r="B148">
        <v>1755959830</v>
      </c>
      <c r="C148">
        <v>2.23333</v>
      </c>
      <c r="E148">
        <v>3.5333299999999999</v>
      </c>
      <c r="F148">
        <v>2.5666600000000002</v>
      </c>
      <c r="G148">
        <v>0.81666000000000005</v>
      </c>
      <c r="H148">
        <v>6.1166600000000004</v>
      </c>
      <c r="I148">
        <v>3.5833300000000001</v>
      </c>
      <c r="J148">
        <v>10.6</v>
      </c>
      <c r="L148">
        <f t="shared" si="0"/>
        <v>133.99979999999999</v>
      </c>
      <c r="M148" t="str">
        <f t="shared" si="1"/>
        <v/>
      </c>
      <c r="N148">
        <f t="shared" si="2"/>
        <v>211.99979999999999</v>
      </c>
      <c r="O148">
        <f t="shared" si="3"/>
        <v>153.99960000000002</v>
      </c>
      <c r="P148">
        <f t="shared" si="4"/>
        <v>48.999600000000001</v>
      </c>
      <c r="Q148">
        <f t="shared" si="5"/>
        <v>366.99960000000004</v>
      </c>
      <c r="R148">
        <f t="shared" si="6"/>
        <v>214.99979999999999</v>
      </c>
      <c r="S148">
        <f t="shared" si="7"/>
        <v>636</v>
      </c>
      <c r="T148" s="3">
        <f>ROUND(IF(L148="",AVERAGE(L:L),L148)+IF(M148="",AVERAGE(M:M),M148)+IF(N148="",AVERAGE(N:N),N148)+IF(O148="",AVERAGE(O:O),O148)+IF(P148="",AVERAGE(P:P),P148)+IF(Q148="",AVERAGE(Q:Q),Q148)+IF(R148="",AVERAGE(R:R),R148)+IF(S148="",AVERAGE(S:S),S148), 4-(1+INT(LOG10(ABS(IF(L148="",AVERAGE(L:L),L148)+IF(M148="",AVERAGE(M:M),M148)+IF(N148="",AVERAGE(N:N),N148)+IF(O148="",AVERAGE(O:O),O148)+IF(P148="",AVERAGE(P:P),P148)+IF(Q148="",AVERAGE(Q:Q),Q148)+IF(R148="",AVERAGE(R:R),R148)+IF(S148="",AVERAGE(S:S),S148))))))</f>
        <v>2257</v>
      </c>
    </row>
    <row r="149" spans="1:20" x14ac:dyDescent="0.3">
      <c r="A149" s="1">
        <v>45892.468981481485</v>
      </c>
      <c r="B149">
        <v>1755962120</v>
      </c>
      <c r="C149">
        <v>2.11666</v>
      </c>
      <c r="E149">
        <v>3.23333</v>
      </c>
      <c r="F149">
        <v>2.2833299999999999</v>
      </c>
      <c r="G149">
        <v>0.8</v>
      </c>
      <c r="H149">
        <v>5.2166600000000001</v>
      </c>
      <c r="I149">
        <v>3.7</v>
      </c>
      <c r="J149">
        <v>12.1</v>
      </c>
      <c r="L149">
        <f t="shared" si="0"/>
        <v>126.9996</v>
      </c>
      <c r="M149" t="str">
        <f t="shared" si="1"/>
        <v/>
      </c>
      <c r="N149">
        <f t="shared" si="2"/>
        <v>193.99979999999999</v>
      </c>
      <c r="O149">
        <f t="shared" si="3"/>
        <v>136.99979999999999</v>
      </c>
      <c r="P149">
        <f t="shared" si="4"/>
        <v>48</v>
      </c>
      <c r="Q149">
        <f t="shared" si="5"/>
        <v>312.99959999999999</v>
      </c>
      <c r="R149">
        <f t="shared" si="6"/>
        <v>222</v>
      </c>
      <c r="S149">
        <f t="shared" si="7"/>
        <v>726</v>
      </c>
      <c r="T149" s="3">
        <f>ROUND(IF(L149="",AVERAGE(L:L),L149)+IF(M149="",AVERAGE(M:M),M149)+IF(N149="",AVERAGE(N:N),N149)+IF(O149="",AVERAGE(O:O),O149)+IF(P149="",AVERAGE(P:P),P149)+IF(Q149="",AVERAGE(Q:Q),Q149)+IF(R149="",AVERAGE(R:R),R149)+IF(S149="",AVERAGE(S:S),S149), 4-(1+INT(LOG10(ABS(IF(L149="",AVERAGE(L:L),L149)+IF(M149="",AVERAGE(M:M),M149)+IF(N149="",AVERAGE(N:N),N149)+IF(O149="",AVERAGE(O:O),O149)+IF(P149="",AVERAGE(P:P),P149)+IF(Q149="",AVERAGE(Q:Q),Q149)+IF(R149="",AVERAGE(R:R),R149)+IF(S149="",AVERAGE(S:S),S149))))))</f>
        <v>2257</v>
      </c>
    </row>
    <row r="150" spans="1:20" x14ac:dyDescent="0.3">
      <c r="A150" s="1">
        <v>45892.492673611108</v>
      </c>
      <c r="B150">
        <v>1755964167</v>
      </c>
      <c r="C150">
        <v>2.0833300000000001</v>
      </c>
      <c r="E150">
        <v>3.1</v>
      </c>
      <c r="F150">
        <v>2.2166600000000001</v>
      </c>
      <c r="G150">
        <v>0.66666000000000003</v>
      </c>
      <c r="H150">
        <v>5.2333299999999996</v>
      </c>
      <c r="I150">
        <v>3.2166600000000001</v>
      </c>
      <c r="J150">
        <v>10.41666</v>
      </c>
      <c r="L150">
        <f t="shared" si="0"/>
        <v>124.99980000000001</v>
      </c>
      <c r="M150" t="str">
        <f t="shared" si="1"/>
        <v/>
      </c>
      <c r="N150">
        <f t="shared" si="2"/>
        <v>186</v>
      </c>
      <c r="O150">
        <f t="shared" si="3"/>
        <v>132.99960000000002</v>
      </c>
      <c r="P150">
        <f t="shared" si="4"/>
        <v>39.999600000000001</v>
      </c>
      <c r="Q150">
        <f t="shared" si="5"/>
        <v>313.99979999999999</v>
      </c>
      <c r="R150">
        <f t="shared" si="6"/>
        <v>192.99960000000002</v>
      </c>
      <c r="S150">
        <f t="shared" si="7"/>
        <v>624.99959999999999</v>
      </c>
      <c r="T150" s="3">
        <f>ROUND(IF(L150="",AVERAGE(L:L),L150)+IF(M150="",AVERAGE(M:M),M150)+IF(N150="",AVERAGE(N:N),N150)+IF(O150="",AVERAGE(O:O),O150)+IF(P150="",AVERAGE(P:P),P150)+IF(Q150="",AVERAGE(Q:Q),Q150)+IF(R150="",AVERAGE(R:R),R150)+IF(S150="",AVERAGE(S:S),S150), 4-(1+INT(LOG10(ABS(IF(L150="",AVERAGE(L:L),L150)+IF(M150="",AVERAGE(M:M),M150)+IF(N150="",AVERAGE(N:N),N150)+IF(O150="",AVERAGE(O:O),O150)+IF(P150="",AVERAGE(P:P),P150)+IF(Q150="",AVERAGE(Q:Q),Q150)+IF(R150="",AVERAGE(R:R),R150)+IF(S150="",AVERAGE(S:S),S150))))))</f>
        <v>2106</v>
      </c>
    </row>
    <row r="151" spans="1:20" x14ac:dyDescent="0.3">
      <c r="A151" s="1">
        <v>45892.519074074073</v>
      </c>
      <c r="B151">
        <v>1755966448</v>
      </c>
      <c r="C151">
        <v>2.0833300000000001</v>
      </c>
      <c r="E151">
        <v>3.1333299999999999</v>
      </c>
      <c r="F151">
        <v>2.2833299999999999</v>
      </c>
      <c r="G151">
        <v>0.65</v>
      </c>
      <c r="H151">
        <v>5.3333300000000001</v>
      </c>
      <c r="I151">
        <v>3.2166600000000001</v>
      </c>
      <c r="J151">
        <v>14.466659999999999</v>
      </c>
      <c r="L151">
        <f t="shared" si="0"/>
        <v>124.99980000000001</v>
      </c>
      <c r="M151" t="str">
        <f t="shared" si="1"/>
        <v/>
      </c>
      <c r="N151">
        <f t="shared" si="2"/>
        <v>187.99979999999999</v>
      </c>
      <c r="O151">
        <f t="shared" si="3"/>
        <v>136.99979999999999</v>
      </c>
      <c r="P151">
        <f t="shared" si="4"/>
        <v>39</v>
      </c>
      <c r="Q151">
        <f t="shared" si="5"/>
        <v>319.99979999999999</v>
      </c>
      <c r="R151">
        <f t="shared" si="6"/>
        <v>192.99960000000002</v>
      </c>
      <c r="S151">
        <f t="shared" si="7"/>
        <v>867.99959999999999</v>
      </c>
      <c r="T151" s="3">
        <f>ROUND(IF(L151="",AVERAGE(L:L),L151)+IF(M151="",AVERAGE(M:M),M151)+IF(N151="",AVERAGE(N:N),N151)+IF(O151="",AVERAGE(O:O),O151)+IF(P151="",AVERAGE(P:P),P151)+IF(Q151="",AVERAGE(Q:Q),Q151)+IF(R151="",AVERAGE(R:R),R151)+IF(S151="",AVERAGE(S:S),S151), 4-(1+INT(LOG10(ABS(IF(L151="",AVERAGE(L:L),L151)+IF(M151="",AVERAGE(M:M),M151)+IF(N151="",AVERAGE(N:N),N151)+IF(O151="",AVERAGE(O:O),O151)+IF(P151="",AVERAGE(P:P),P151)+IF(Q151="",AVERAGE(Q:Q),Q151)+IF(R151="",AVERAGE(R:R),R151)+IF(S151="",AVERAGE(S:S),S151))))))</f>
        <v>2360</v>
      </c>
    </row>
    <row r="152" spans="1:20" x14ac:dyDescent="0.3">
      <c r="A152" s="1">
        <v>45892.542905092596</v>
      </c>
      <c r="B152">
        <v>1755968507</v>
      </c>
      <c r="C152">
        <v>2.0499999999999998</v>
      </c>
      <c r="E152">
        <v>3.15</v>
      </c>
      <c r="F152">
        <v>2.2666599999999999</v>
      </c>
      <c r="G152">
        <v>0.66666000000000003</v>
      </c>
      <c r="H152">
        <v>5.1666600000000003</v>
      </c>
      <c r="I152">
        <v>3.25</v>
      </c>
      <c r="J152">
        <v>10.533329999999999</v>
      </c>
      <c r="L152">
        <f t="shared" si="0"/>
        <v>122.99999999999999</v>
      </c>
      <c r="M152" t="str">
        <f t="shared" si="1"/>
        <v/>
      </c>
      <c r="N152">
        <f t="shared" si="2"/>
        <v>189</v>
      </c>
      <c r="O152">
        <f t="shared" si="3"/>
        <v>135.99959999999999</v>
      </c>
      <c r="P152">
        <f t="shared" si="4"/>
        <v>39.999600000000001</v>
      </c>
      <c r="Q152">
        <f t="shared" si="5"/>
        <v>309.99959999999999</v>
      </c>
      <c r="R152">
        <f t="shared" si="6"/>
        <v>195</v>
      </c>
      <c r="S152">
        <f t="shared" si="7"/>
        <v>631.99979999999994</v>
      </c>
      <c r="T152" s="3">
        <f>ROUND(IF(L152="",AVERAGE(L:L),L152)+IF(M152="",AVERAGE(M:M),M152)+IF(N152="",AVERAGE(N:N),N152)+IF(O152="",AVERAGE(O:O),O152)+IF(P152="",AVERAGE(P:P),P152)+IF(Q152="",AVERAGE(Q:Q),Q152)+IF(R152="",AVERAGE(R:R),R152)+IF(S152="",AVERAGE(S:S),S152), 4-(1+INT(LOG10(ABS(IF(L152="",AVERAGE(L:L),L152)+IF(M152="",AVERAGE(M:M),M152)+IF(N152="",AVERAGE(N:N),N152)+IF(O152="",AVERAGE(O:O),O152)+IF(P152="",AVERAGE(P:P),P152)+IF(Q152="",AVERAGE(Q:Q),Q152)+IF(R152="",AVERAGE(R:R),R152)+IF(S152="",AVERAGE(S:S),S152))))))</f>
        <v>2115</v>
      </c>
    </row>
    <row r="153" spans="1:20" x14ac:dyDescent="0.3">
      <c r="A153" s="1">
        <v>45892.567777777775</v>
      </c>
      <c r="B153">
        <v>1755970656</v>
      </c>
      <c r="C153">
        <v>2.1</v>
      </c>
      <c r="E153">
        <v>3.11666</v>
      </c>
      <c r="F153">
        <v>2.25</v>
      </c>
      <c r="G153">
        <v>0.66666000000000003</v>
      </c>
      <c r="H153">
        <v>5.15</v>
      </c>
      <c r="I153">
        <v>3.23333</v>
      </c>
      <c r="J153">
        <v>11.783329999999999</v>
      </c>
      <c r="L153">
        <f t="shared" si="0"/>
        <v>126</v>
      </c>
      <c r="M153" t="str">
        <f t="shared" si="1"/>
        <v/>
      </c>
      <c r="N153">
        <f t="shared" si="2"/>
        <v>186.99959999999999</v>
      </c>
      <c r="O153">
        <f t="shared" si="3"/>
        <v>135</v>
      </c>
      <c r="P153">
        <f t="shared" si="4"/>
        <v>39.999600000000001</v>
      </c>
      <c r="Q153">
        <f t="shared" si="5"/>
        <v>309</v>
      </c>
      <c r="R153">
        <f t="shared" si="6"/>
        <v>193.99979999999999</v>
      </c>
      <c r="S153">
        <f t="shared" si="7"/>
        <v>706.99979999999994</v>
      </c>
      <c r="T153" s="3">
        <f>ROUND(IF(L153="",AVERAGE(L:L),L153)+IF(M153="",AVERAGE(M:M),M153)+IF(N153="",AVERAGE(N:N),N153)+IF(O153="",AVERAGE(O:O),O153)+IF(P153="",AVERAGE(P:P),P153)+IF(Q153="",AVERAGE(Q:Q),Q153)+IF(R153="",AVERAGE(R:R),R153)+IF(S153="",AVERAGE(S:S),S153), 4-(1+INT(LOG10(ABS(IF(L153="",AVERAGE(L:L),L153)+IF(M153="",AVERAGE(M:M),M153)+IF(N153="",AVERAGE(N:N),N153)+IF(O153="",AVERAGE(O:O),O153)+IF(P153="",AVERAGE(P:P),P153)+IF(Q153="",AVERAGE(Q:Q),Q153)+IF(R153="",AVERAGE(R:R),R153)+IF(S153="",AVERAGE(S:S),S153))))))</f>
        <v>2188</v>
      </c>
    </row>
    <row r="154" spans="1:20" x14ac:dyDescent="0.3">
      <c r="A154" s="1">
        <v>45892.595856481479</v>
      </c>
      <c r="B154">
        <v>1755973082</v>
      </c>
      <c r="C154">
        <v>2.2833299999999999</v>
      </c>
      <c r="E154">
        <v>3.3</v>
      </c>
      <c r="F154">
        <v>2.4333300000000002</v>
      </c>
      <c r="G154">
        <v>0.78332999999999997</v>
      </c>
      <c r="H154">
        <v>5.2</v>
      </c>
      <c r="I154">
        <v>3.2666599999999999</v>
      </c>
      <c r="J154">
        <v>12.95</v>
      </c>
      <c r="L154">
        <f t="shared" si="0"/>
        <v>136.99979999999999</v>
      </c>
      <c r="M154" t="str">
        <f t="shared" si="1"/>
        <v/>
      </c>
      <c r="N154">
        <f t="shared" si="2"/>
        <v>198</v>
      </c>
      <c r="O154">
        <f t="shared" si="3"/>
        <v>145.99980000000002</v>
      </c>
      <c r="P154">
        <f t="shared" si="4"/>
        <v>46.9998</v>
      </c>
      <c r="Q154">
        <f t="shared" si="5"/>
        <v>312</v>
      </c>
      <c r="R154">
        <f t="shared" si="6"/>
        <v>195.99959999999999</v>
      </c>
      <c r="S154">
        <f t="shared" si="7"/>
        <v>777</v>
      </c>
      <c r="T154" s="3">
        <f>ROUND(IF(L154="",AVERAGE(L:L),L154)+IF(M154="",AVERAGE(M:M),M154)+IF(N154="",AVERAGE(N:N),N154)+IF(O154="",AVERAGE(O:O),O154)+IF(P154="",AVERAGE(P:P),P154)+IF(Q154="",AVERAGE(Q:Q),Q154)+IF(R154="",AVERAGE(R:R),R154)+IF(S154="",AVERAGE(S:S),S154), 4-(1+INT(LOG10(ABS(IF(L154="",AVERAGE(L:L),L154)+IF(M154="",AVERAGE(M:M),M154)+IF(N154="",AVERAGE(N:N),N154)+IF(O154="",AVERAGE(O:O),O154)+IF(P154="",AVERAGE(P:P),P154)+IF(Q154="",AVERAGE(Q:Q),Q154)+IF(R154="",AVERAGE(R:R),R154)+IF(S154="",AVERAGE(S:S),S154))))))</f>
        <v>2303</v>
      </c>
    </row>
    <row r="155" spans="1:20" x14ac:dyDescent="0.3">
      <c r="A155" s="1">
        <v>45892.621493055558</v>
      </c>
      <c r="B155">
        <v>1755975297</v>
      </c>
      <c r="C155">
        <v>2.1833300000000002</v>
      </c>
      <c r="E155">
        <v>3.1666599999999998</v>
      </c>
      <c r="F155">
        <v>1.91666</v>
      </c>
      <c r="G155">
        <v>0.68332999999999999</v>
      </c>
      <c r="H155">
        <v>5.1833299999999998</v>
      </c>
      <c r="I155">
        <v>3.2833299999999999</v>
      </c>
      <c r="J155">
        <v>12.23333</v>
      </c>
      <c r="L155">
        <f t="shared" si="0"/>
        <v>130.99980000000002</v>
      </c>
      <c r="M155" t="str">
        <f t="shared" si="1"/>
        <v/>
      </c>
      <c r="N155">
        <f t="shared" si="2"/>
        <v>189.99959999999999</v>
      </c>
      <c r="O155">
        <f t="shared" si="3"/>
        <v>114.9996</v>
      </c>
      <c r="P155">
        <f t="shared" si="4"/>
        <v>40.9998</v>
      </c>
      <c r="Q155">
        <f t="shared" si="5"/>
        <v>310.99979999999999</v>
      </c>
      <c r="R155">
        <f t="shared" si="6"/>
        <v>196.99979999999999</v>
      </c>
      <c r="S155">
        <f t="shared" si="7"/>
        <v>733.99980000000005</v>
      </c>
      <c r="T155" s="3">
        <f>ROUND(IF(L155="",AVERAGE(L:L),L155)+IF(M155="",AVERAGE(M:M),M155)+IF(N155="",AVERAGE(N:N),N155)+IF(O155="",AVERAGE(O:O),O155)+IF(P155="",AVERAGE(P:P),P155)+IF(Q155="",AVERAGE(Q:Q),Q155)+IF(R155="",AVERAGE(R:R),R155)+IF(S155="",AVERAGE(S:S),S155), 4-(1+INT(LOG10(ABS(IF(L155="",AVERAGE(L:L),L155)+IF(M155="",AVERAGE(M:M),M155)+IF(N155="",AVERAGE(N:N),N155)+IF(O155="",AVERAGE(O:O),O155)+IF(P155="",AVERAGE(P:P),P155)+IF(Q155="",AVERAGE(Q:Q),Q155)+IF(R155="",AVERAGE(R:R),R155)+IF(S155="",AVERAGE(S:S),S155))))))</f>
        <v>2209</v>
      </c>
    </row>
    <row r="156" spans="1:20" x14ac:dyDescent="0.3">
      <c r="A156" s="1">
        <v>45892.652453703704</v>
      </c>
      <c r="B156">
        <v>1755977972</v>
      </c>
      <c r="C156">
        <v>2.1833300000000002</v>
      </c>
      <c r="E156">
        <v>3.4666600000000001</v>
      </c>
      <c r="F156">
        <v>2.2833299999999999</v>
      </c>
      <c r="H156">
        <v>6.1</v>
      </c>
      <c r="I156">
        <v>3.9333300000000002</v>
      </c>
      <c r="J156">
        <v>12.6</v>
      </c>
      <c r="L156">
        <f t="shared" si="0"/>
        <v>130.99980000000002</v>
      </c>
      <c r="M156" t="str">
        <f t="shared" si="1"/>
        <v/>
      </c>
      <c r="N156">
        <f t="shared" si="2"/>
        <v>207.99960000000002</v>
      </c>
      <c r="O156">
        <f t="shared" si="3"/>
        <v>136.99979999999999</v>
      </c>
      <c r="P156" t="str">
        <f t="shared" si="4"/>
        <v/>
      </c>
      <c r="Q156">
        <f t="shared" si="5"/>
        <v>366</v>
      </c>
      <c r="R156">
        <f t="shared" si="6"/>
        <v>235.99980000000002</v>
      </c>
      <c r="S156">
        <f t="shared" si="7"/>
        <v>756</v>
      </c>
      <c r="T156" s="3">
        <f>ROUND(IF(L156="",AVERAGE(L:L),L156)+IF(M156="",AVERAGE(M:M),M156)+IF(N156="",AVERAGE(N:N),N156)+IF(O156="",AVERAGE(O:O),O156)+IF(P156="",AVERAGE(P:P),P156)+IF(Q156="",AVERAGE(Q:Q),Q156)+IF(R156="",AVERAGE(R:R),R156)+IF(S156="",AVERAGE(S:S),S156), 4-(1+INT(LOG10(ABS(IF(L156="",AVERAGE(L:L),L156)+IF(M156="",AVERAGE(M:M),M156)+IF(N156="",AVERAGE(N:N),N156)+IF(O156="",AVERAGE(O:O),O156)+IF(P156="",AVERAGE(P:P),P156)+IF(Q156="",AVERAGE(Q:Q),Q156)+IF(R156="",AVERAGE(R:R),R156)+IF(S156="",AVERAGE(S:S),S156))))))</f>
        <v>2368</v>
      </c>
    </row>
    <row r="157" spans="1:20" x14ac:dyDescent="0.3">
      <c r="A157" s="1">
        <v>45892.68650462963</v>
      </c>
      <c r="B157">
        <v>1755980914</v>
      </c>
      <c r="C157">
        <v>2.2666599999999999</v>
      </c>
      <c r="E157">
        <v>3.1666599999999998</v>
      </c>
      <c r="F157">
        <v>2.61666</v>
      </c>
      <c r="G157">
        <v>0.78332999999999997</v>
      </c>
      <c r="H157">
        <v>5.8666600000000004</v>
      </c>
      <c r="I157">
        <v>3.73333</v>
      </c>
      <c r="J157">
        <v>14.383330000000001</v>
      </c>
      <c r="L157">
        <f t="shared" si="0"/>
        <v>135.99959999999999</v>
      </c>
      <c r="M157" t="str">
        <f t="shared" si="1"/>
        <v/>
      </c>
      <c r="N157">
        <f t="shared" si="2"/>
        <v>189.99959999999999</v>
      </c>
      <c r="O157">
        <f t="shared" si="3"/>
        <v>156.99959999999999</v>
      </c>
      <c r="P157">
        <f t="shared" si="4"/>
        <v>46.9998</v>
      </c>
      <c r="Q157">
        <f t="shared" si="5"/>
        <v>351.99960000000004</v>
      </c>
      <c r="R157">
        <f t="shared" si="6"/>
        <v>223.99979999999999</v>
      </c>
      <c r="S157">
        <f t="shared" si="7"/>
        <v>862.99980000000005</v>
      </c>
      <c r="T157" s="3">
        <f>ROUND(IF(L157="",AVERAGE(L:L),L157)+IF(M157="",AVERAGE(M:M),M157)+IF(N157="",AVERAGE(N:N),N157)+IF(O157="",AVERAGE(O:O),O157)+IF(P157="",AVERAGE(P:P),P157)+IF(Q157="",AVERAGE(Q:Q),Q157)+IF(R157="",AVERAGE(R:R),R157)+IF(S157="",AVERAGE(S:S),S157), 4-(1+INT(LOG10(ABS(IF(L157="",AVERAGE(L:L),L157)+IF(M157="",AVERAGE(M:M),M157)+IF(N157="",AVERAGE(N:N),N157)+IF(O157="",AVERAGE(O:O),O157)+IF(P157="",AVERAGE(P:P),P157)+IF(Q157="",AVERAGE(Q:Q),Q157)+IF(R157="",AVERAGE(R:R),R157)+IF(S157="",AVERAGE(S:S),S157))))))</f>
        <v>2459</v>
      </c>
    </row>
    <row r="158" spans="1:20" x14ac:dyDescent="0.3">
      <c r="A158" s="1">
        <v>45892.72315972222</v>
      </c>
      <c r="B158">
        <v>1755984081</v>
      </c>
      <c r="C158">
        <v>2.9</v>
      </c>
      <c r="E158">
        <v>3.5166599999999999</v>
      </c>
      <c r="F158">
        <v>2.7</v>
      </c>
      <c r="G158">
        <v>0.73333000000000004</v>
      </c>
      <c r="H158">
        <v>5.3</v>
      </c>
      <c r="I158">
        <v>3.3833299999999999</v>
      </c>
      <c r="J158">
        <v>17.600000000000001</v>
      </c>
      <c r="L158">
        <f t="shared" si="0"/>
        <v>174</v>
      </c>
      <c r="M158" t="str">
        <f t="shared" si="1"/>
        <v/>
      </c>
      <c r="N158">
        <f t="shared" si="2"/>
        <v>210.99959999999999</v>
      </c>
      <c r="O158">
        <f t="shared" si="3"/>
        <v>162</v>
      </c>
      <c r="P158">
        <f t="shared" si="4"/>
        <v>43.9998</v>
      </c>
      <c r="Q158">
        <f t="shared" si="5"/>
        <v>318</v>
      </c>
      <c r="R158">
        <f t="shared" si="6"/>
        <v>202.99979999999999</v>
      </c>
      <c r="S158">
        <f t="shared" si="7"/>
        <v>1056</v>
      </c>
      <c r="T158" s="3">
        <f>ROUND(IF(L158="",AVERAGE(L:L),L158)+IF(M158="",AVERAGE(M:M),M158)+IF(N158="",AVERAGE(N:N),N158)+IF(O158="",AVERAGE(O:O),O158)+IF(P158="",AVERAGE(P:P),P158)+IF(Q158="",AVERAGE(Q:Q),Q158)+IF(R158="",AVERAGE(R:R),R158)+IF(S158="",AVERAGE(S:S),S158), 4-(1+INT(LOG10(ABS(IF(L158="",AVERAGE(L:L),L158)+IF(M158="",AVERAGE(M:M),M158)+IF(N158="",AVERAGE(N:N),N158)+IF(O158="",AVERAGE(O:O),O158)+IF(P158="",AVERAGE(P:P),P158)+IF(Q158="",AVERAGE(Q:Q),Q158)+IF(R158="",AVERAGE(R:R),R158)+IF(S158="",AVERAGE(S:S),S158))))))</f>
        <v>2658</v>
      </c>
    </row>
    <row r="159" spans="1:20" x14ac:dyDescent="0.3">
      <c r="A159" s="1">
        <v>45892.750104166669</v>
      </c>
      <c r="B159">
        <v>1755986409</v>
      </c>
      <c r="C159">
        <v>2.2999999999999998</v>
      </c>
      <c r="E159">
        <v>2.8166600000000002</v>
      </c>
      <c r="F159">
        <v>2.3333300000000001</v>
      </c>
      <c r="G159">
        <v>0.73333000000000004</v>
      </c>
      <c r="H159">
        <v>5.15</v>
      </c>
      <c r="I159">
        <v>3.2166600000000001</v>
      </c>
      <c r="J159">
        <v>11.83333</v>
      </c>
      <c r="L159">
        <f t="shared" si="0"/>
        <v>138</v>
      </c>
      <c r="M159" t="str">
        <f t="shared" si="1"/>
        <v/>
      </c>
      <c r="N159">
        <f t="shared" si="2"/>
        <v>168.99960000000002</v>
      </c>
      <c r="O159">
        <f t="shared" si="3"/>
        <v>139.99979999999999</v>
      </c>
      <c r="P159">
        <f t="shared" si="4"/>
        <v>43.9998</v>
      </c>
      <c r="Q159">
        <f t="shared" si="5"/>
        <v>309</v>
      </c>
      <c r="R159">
        <f t="shared" si="6"/>
        <v>192.99960000000002</v>
      </c>
      <c r="S159">
        <f t="shared" si="7"/>
        <v>709.99980000000005</v>
      </c>
      <c r="T159" s="3">
        <f>ROUND(IF(L159="",AVERAGE(L:L),L159)+IF(M159="",AVERAGE(M:M),M159)+IF(N159="",AVERAGE(N:N),N159)+IF(O159="",AVERAGE(O:O),O159)+IF(P159="",AVERAGE(P:P),P159)+IF(Q159="",AVERAGE(Q:Q),Q159)+IF(R159="",AVERAGE(R:R),R159)+IF(S159="",AVERAGE(S:S),S159), 4-(1+INT(LOG10(ABS(IF(L159="",AVERAGE(L:L),L159)+IF(M159="",AVERAGE(M:M),M159)+IF(N159="",AVERAGE(N:N),N159)+IF(O159="",AVERAGE(O:O),O159)+IF(P159="",AVERAGE(P:P),P159)+IF(Q159="",AVERAGE(Q:Q),Q159)+IF(R159="",AVERAGE(R:R),R159)+IF(S159="",AVERAGE(S:S),S159))))))</f>
        <v>2193</v>
      </c>
    </row>
    <row r="160" spans="1:20" x14ac:dyDescent="0.3">
      <c r="A160" s="1">
        <v>45892.77684027778</v>
      </c>
      <c r="B160">
        <v>1755988719</v>
      </c>
      <c r="C160">
        <v>2.1666599999999998</v>
      </c>
      <c r="E160">
        <v>3.1666599999999998</v>
      </c>
      <c r="G160">
        <v>0.7</v>
      </c>
      <c r="H160">
        <v>5.2</v>
      </c>
      <c r="I160">
        <v>3.3166600000000002</v>
      </c>
      <c r="J160">
        <v>10.98333</v>
      </c>
      <c r="L160">
        <f t="shared" si="0"/>
        <v>129.99959999999999</v>
      </c>
      <c r="M160" t="str">
        <f t="shared" si="1"/>
        <v/>
      </c>
      <c r="N160">
        <f t="shared" si="2"/>
        <v>189.99959999999999</v>
      </c>
      <c r="O160" t="str">
        <f t="shared" si="3"/>
        <v/>
      </c>
      <c r="P160">
        <f t="shared" si="4"/>
        <v>42</v>
      </c>
      <c r="Q160">
        <f t="shared" si="5"/>
        <v>312</v>
      </c>
      <c r="R160">
        <f t="shared" si="6"/>
        <v>198.99960000000002</v>
      </c>
      <c r="S160">
        <f t="shared" si="7"/>
        <v>658.99980000000005</v>
      </c>
      <c r="T160" s="3">
        <f>ROUND(IF(L160="",AVERAGE(L:L),L160)+IF(M160="",AVERAGE(M:M),M160)+IF(N160="",AVERAGE(N:N),N160)+IF(O160="",AVERAGE(O:O),O160)+IF(P160="",AVERAGE(P:P),P160)+IF(Q160="",AVERAGE(Q:Q),Q160)+IF(R160="",AVERAGE(R:R),R160)+IF(S160="",AVERAGE(S:S),S160), 4-(1+INT(LOG10(ABS(IF(L160="",AVERAGE(L:L),L160)+IF(M160="",AVERAGE(M:M),M160)+IF(N160="",AVERAGE(N:N),N160)+IF(O160="",AVERAGE(O:O),O160)+IF(P160="",AVERAGE(P:P),P160)+IF(Q160="",AVERAGE(Q:Q),Q160)+IF(R160="",AVERAGE(R:R),R160)+IF(S160="",AVERAGE(S:S),S160))))))</f>
        <v>2158</v>
      </c>
    </row>
    <row r="161" spans="1:20" x14ac:dyDescent="0.3">
      <c r="A161" s="1">
        <v>45892.800949074073</v>
      </c>
      <c r="B161">
        <v>1755990802</v>
      </c>
      <c r="C161">
        <v>2.0499999999999998</v>
      </c>
      <c r="E161">
        <v>3.1666599999999998</v>
      </c>
      <c r="F161">
        <v>2.2666599999999999</v>
      </c>
      <c r="G161">
        <v>0.66666000000000003</v>
      </c>
      <c r="H161">
        <v>5.2166600000000001</v>
      </c>
      <c r="I161">
        <v>3.2666599999999999</v>
      </c>
      <c r="J161">
        <v>10.966659999999999</v>
      </c>
      <c r="L161">
        <f t="shared" si="0"/>
        <v>122.99999999999999</v>
      </c>
      <c r="M161" t="str">
        <f t="shared" si="1"/>
        <v/>
      </c>
      <c r="N161">
        <f t="shared" si="2"/>
        <v>189.99959999999999</v>
      </c>
      <c r="O161">
        <f t="shared" si="3"/>
        <v>135.99959999999999</v>
      </c>
      <c r="P161">
        <f t="shared" si="4"/>
        <v>39.999600000000001</v>
      </c>
      <c r="Q161">
        <f t="shared" si="5"/>
        <v>312.99959999999999</v>
      </c>
      <c r="R161">
        <f t="shared" si="6"/>
        <v>195.99959999999999</v>
      </c>
      <c r="S161">
        <f t="shared" si="7"/>
        <v>657.99959999999999</v>
      </c>
      <c r="T161" s="3">
        <f>ROUND(IF(L161="",AVERAGE(L:L),L161)+IF(M161="",AVERAGE(M:M),M161)+IF(N161="",AVERAGE(N:N),N161)+IF(O161="",AVERAGE(O:O),O161)+IF(P161="",AVERAGE(P:P),P161)+IF(Q161="",AVERAGE(Q:Q),Q161)+IF(R161="",AVERAGE(R:R),R161)+IF(S161="",AVERAGE(S:S),S161), 4-(1+INT(LOG10(ABS(IF(L161="",AVERAGE(L:L),L161)+IF(M161="",AVERAGE(M:M),M161)+IF(N161="",AVERAGE(N:N),N161)+IF(O161="",AVERAGE(O:O),O161)+IF(P161="",AVERAGE(P:P),P161)+IF(Q161="",AVERAGE(Q:Q),Q161)+IF(R161="",AVERAGE(R:R),R161)+IF(S161="",AVERAGE(S:S),S161))))))</f>
        <v>2146</v>
      </c>
    </row>
    <row r="162" spans="1:20" x14ac:dyDescent="0.3">
      <c r="A162" s="1">
        <v>45892.824641203704</v>
      </c>
      <c r="B162">
        <v>1755992849</v>
      </c>
      <c r="C162">
        <v>2.1</v>
      </c>
      <c r="D162">
        <v>9.5833300000000001</v>
      </c>
      <c r="E162">
        <v>3.15</v>
      </c>
      <c r="F162">
        <v>2.36666</v>
      </c>
      <c r="G162">
        <v>0.7</v>
      </c>
      <c r="H162">
        <v>5.2166600000000001</v>
      </c>
      <c r="I162">
        <v>3.2666599999999999</v>
      </c>
      <c r="J162">
        <v>10.5</v>
      </c>
      <c r="L162">
        <f t="shared" si="0"/>
        <v>126</v>
      </c>
      <c r="M162">
        <f t="shared" si="1"/>
        <v>574.99980000000005</v>
      </c>
      <c r="N162">
        <f t="shared" si="2"/>
        <v>189</v>
      </c>
      <c r="O162">
        <f t="shared" si="3"/>
        <v>141.99959999999999</v>
      </c>
      <c r="P162">
        <f t="shared" si="4"/>
        <v>42</v>
      </c>
      <c r="Q162">
        <f t="shared" si="5"/>
        <v>312.99959999999999</v>
      </c>
      <c r="R162">
        <f t="shared" si="6"/>
        <v>195.99959999999999</v>
      </c>
      <c r="S162">
        <f t="shared" si="7"/>
        <v>630</v>
      </c>
      <c r="T162" s="3">
        <f>ROUND(IF(L162="",AVERAGE(L:L),L162)+IF(M162="",AVERAGE(M:M),M162)+IF(N162="",AVERAGE(N:N),N162)+IF(O162="",AVERAGE(O:O),O162)+IF(P162="",AVERAGE(P:P),P162)+IF(Q162="",AVERAGE(Q:Q),Q162)+IF(R162="",AVERAGE(R:R),R162)+IF(S162="",AVERAGE(S:S),S162), 4-(1+INT(LOG10(ABS(IF(L162="",AVERAGE(L:L),L162)+IF(M162="",AVERAGE(M:M),M162)+IF(N162="",AVERAGE(N:N),N162)+IF(O162="",AVERAGE(O:O),O162)+IF(P162="",AVERAGE(P:P),P162)+IF(Q162="",AVERAGE(Q:Q),Q162)+IF(R162="",AVERAGE(R:R),R162)+IF(S162="",AVERAGE(S:S),S162))))))</f>
        <v>2213</v>
      </c>
    </row>
    <row r="163" spans="1:20" x14ac:dyDescent="0.3">
      <c r="A163" s="1">
        <v>45892.841284722221</v>
      </c>
      <c r="B163">
        <v>1755994287</v>
      </c>
      <c r="C163">
        <v>2.3333300000000001</v>
      </c>
      <c r="D163">
        <v>8.1333300000000008</v>
      </c>
      <c r="E163">
        <v>3.1333299999999999</v>
      </c>
      <c r="F163">
        <v>2.2833299999999999</v>
      </c>
      <c r="G163">
        <v>0.68332999999999999</v>
      </c>
      <c r="H163">
        <v>5.3166599999999997</v>
      </c>
      <c r="I163">
        <v>3.48333</v>
      </c>
      <c r="J163">
        <v>8.9833300000000005</v>
      </c>
      <c r="L163">
        <f t="shared" si="0"/>
        <v>139.99979999999999</v>
      </c>
      <c r="M163">
        <f t="shared" si="1"/>
        <v>487.99980000000005</v>
      </c>
      <c r="N163">
        <f t="shared" si="2"/>
        <v>187.99979999999999</v>
      </c>
      <c r="O163">
        <f t="shared" si="3"/>
        <v>136.99979999999999</v>
      </c>
      <c r="P163">
        <f t="shared" si="4"/>
        <v>40.9998</v>
      </c>
      <c r="Q163">
        <f t="shared" si="5"/>
        <v>318.99959999999999</v>
      </c>
      <c r="R163">
        <f t="shared" si="6"/>
        <v>208.99979999999999</v>
      </c>
      <c r="S163">
        <f t="shared" si="7"/>
        <v>538.99980000000005</v>
      </c>
      <c r="T163" s="3">
        <f>ROUND(IF(L163="",AVERAGE(L:L),L163)+IF(M163="",AVERAGE(M:M),M163)+IF(N163="",AVERAGE(N:N),N163)+IF(O163="",AVERAGE(O:O),O163)+IF(P163="",AVERAGE(P:P),P163)+IF(Q163="",AVERAGE(Q:Q),Q163)+IF(R163="",AVERAGE(R:R),R163)+IF(S163="",AVERAGE(S:S),S163), 4-(1+INT(LOG10(ABS(IF(L163="",AVERAGE(L:L),L163)+IF(M163="",AVERAGE(M:M),M163)+IF(N163="",AVERAGE(N:N),N163)+IF(O163="",AVERAGE(O:O),O163)+IF(P163="",AVERAGE(P:P),P163)+IF(Q163="",AVERAGE(Q:Q),Q163)+IF(R163="",AVERAGE(R:R),R163)+IF(S163="",AVERAGE(S:S),S163))))))</f>
        <v>2061</v>
      </c>
    </row>
    <row r="164" spans="1:20" x14ac:dyDescent="0.3">
      <c r="A164" s="1">
        <v>45892.856956018521</v>
      </c>
      <c r="B164">
        <v>1755995641</v>
      </c>
      <c r="C164">
        <v>2.1</v>
      </c>
      <c r="D164">
        <v>8.4666599999999992</v>
      </c>
      <c r="E164">
        <v>3.1666599999999998</v>
      </c>
      <c r="F164">
        <v>2.2833299999999999</v>
      </c>
      <c r="G164">
        <v>0.66666000000000003</v>
      </c>
      <c r="H164">
        <v>5.1833299999999998</v>
      </c>
      <c r="I164">
        <v>3.23333</v>
      </c>
      <c r="J164">
        <v>8.6833299999999998</v>
      </c>
      <c r="L164">
        <f t="shared" si="0"/>
        <v>126</v>
      </c>
      <c r="M164">
        <f t="shared" si="1"/>
        <v>507.99959999999993</v>
      </c>
      <c r="N164">
        <f t="shared" si="2"/>
        <v>189.99959999999999</v>
      </c>
      <c r="O164">
        <f t="shared" si="3"/>
        <v>136.99979999999999</v>
      </c>
      <c r="P164">
        <f t="shared" si="4"/>
        <v>39.999600000000001</v>
      </c>
      <c r="Q164">
        <f t="shared" si="5"/>
        <v>310.99979999999999</v>
      </c>
      <c r="R164">
        <f t="shared" si="6"/>
        <v>193.99979999999999</v>
      </c>
      <c r="S164">
        <f t="shared" si="7"/>
        <v>520.99979999999994</v>
      </c>
      <c r="T164" s="3">
        <f>ROUND(IF(L164="",AVERAGE(L:L),L164)+IF(M164="",AVERAGE(M:M),M164)+IF(N164="",AVERAGE(N:N),N164)+IF(O164="",AVERAGE(O:O),O164)+IF(P164="",AVERAGE(P:P),P164)+IF(Q164="",AVERAGE(Q:Q),Q164)+IF(R164="",AVERAGE(R:R),R164)+IF(S164="",AVERAGE(S:S),S164), 4-(1+INT(LOG10(ABS(IF(L164="",AVERAGE(L:L),L164)+IF(M164="",AVERAGE(M:M),M164)+IF(N164="",AVERAGE(N:N),N164)+IF(O164="",AVERAGE(O:O),O164)+IF(P164="",AVERAGE(P:P),P164)+IF(Q164="",AVERAGE(Q:Q),Q164)+IF(R164="",AVERAGE(R:R),R164)+IF(S164="",AVERAGE(S:S),S164))))))</f>
        <v>2027</v>
      </c>
    </row>
    <row r="165" spans="1:20" x14ac:dyDescent="0.3">
      <c r="A165" s="1">
        <v>45892.872743055559</v>
      </c>
      <c r="B165">
        <v>1755997005</v>
      </c>
      <c r="C165">
        <v>2.0499999999999998</v>
      </c>
      <c r="D165">
        <v>7.7666599999999999</v>
      </c>
      <c r="E165">
        <v>3.1666599999999998</v>
      </c>
      <c r="F165">
        <v>2.2833299999999999</v>
      </c>
      <c r="G165">
        <v>0.66666000000000003</v>
      </c>
      <c r="H165">
        <v>5.3333300000000001</v>
      </c>
      <c r="I165">
        <v>3.2166600000000001</v>
      </c>
      <c r="J165">
        <v>8.9</v>
      </c>
      <c r="L165">
        <f t="shared" si="0"/>
        <v>122.99999999999999</v>
      </c>
      <c r="M165">
        <f t="shared" si="1"/>
        <v>465.99959999999999</v>
      </c>
      <c r="N165">
        <f t="shared" si="2"/>
        <v>189.99959999999999</v>
      </c>
      <c r="O165">
        <f t="shared" si="3"/>
        <v>136.99979999999999</v>
      </c>
      <c r="P165">
        <f t="shared" si="4"/>
        <v>39.999600000000001</v>
      </c>
      <c r="Q165">
        <f t="shared" si="5"/>
        <v>319.99979999999999</v>
      </c>
      <c r="R165">
        <f t="shared" si="6"/>
        <v>192.99960000000002</v>
      </c>
      <c r="S165">
        <f t="shared" si="7"/>
        <v>534</v>
      </c>
      <c r="T165" s="3">
        <f>ROUND(IF(L165="",AVERAGE(L:L),L165)+IF(M165="",AVERAGE(M:M),M165)+IF(N165="",AVERAGE(N:N),N165)+IF(O165="",AVERAGE(O:O),O165)+IF(P165="",AVERAGE(P:P),P165)+IF(Q165="",AVERAGE(Q:Q),Q165)+IF(R165="",AVERAGE(R:R),R165)+IF(S165="",AVERAGE(S:S),S165), 4-(1+INT(LOG10(ABS(IF(L165="",AVERAGE(L:L),L165)+IF(M165="",AVERAGE(M:M),M165)+IF(N165="",AVERAGE(N:N),N165)+IF(O165="",AVERAGE(O:O),O165)+IF(P165="",AVERAGE(P:P),P165)+IF(Q165="",AVERAGE(Q:Q),Q165)+IF(R165="",AVERAGE(R:R),R165)+IF(S165="",AVERAGE(S:S),S165))))))</f>
        <v>2003</v>
      </c>
    </row>
    <row r="166" spans="1:20" x14ac:dyDescent="0.3">
      <c r="A166" s="1">
        <v>45892.890428240738</v>
      </c>
      <c r="B166">
        <v>1755998533</v>
      </c>
      <c r="C166">
        <v>2.5</v>
      </c>
      <c r="E166">
        <v>3.3333300000000001</v>
      </c>
      <c r="F166">
        <v>2.8</v>
      </c>
      <c r="G166">
        <v>0.8</v>
      </c>
      <c r="H166">
        <v>6.0666599999999997</v>
      </c>
      <c r="I166">
        <v>3.9</v>
      </c>
      <c r="J166">
        <v>8.3000000000000007</v>
      </c>
      <c r="L166">
        <f t="shared" si="0"/>
        <v>150</v>
      </c>
      <c r="M166" t="str">
        <f t="shared" si="1"/>
        <v/>
      </c>
      <c r="N166">
        <f t="shared" si="2"/>
        <v>199.99979999999999</v>
      </c>
      <c r="O166">
        <f t="shared" si="3"/>
        <v>168</v>
      </c>
      <c r="P166">
        <f t="shared" si="4"/>
        <v>48</v>
      </c>
      <c r="Q166">
        <f t="shared" si="5"/>
        <v>363.99959999999999</v>
      </c>
      <c r="R166">
        <f t="shared" si="6"/>
        <v>234</v>
      </c>
      <c r="S166">
        <f t="shared" si="7"/>
        <v>498.00000000000006</v>
      </c>
      <c r="T166" s="3">
        <f>ROUND(IF(L166="",AVERAGE(L:L),L166)+IF(M166="",AVERAGE(M:M),M166)+IF(N166="",AVERAGE(N:N),N166)+IF(O166="",AVERAGE(O:O),O166)+IF(P166="",AVERAGE(P:P),P166)+IF(Q166="",AVERAGE(Q:Q),Q166)+IF(R166="",AVERAGE(R:R),R166)+IF(S166="",AVERAGE(S:S),S166), 4-(1+INT(LOG10(ABS(IF(L166="",AVERAGE(L:L),L166)+IF(M166="",AVERAGE(M:M),M166)+IF(N166="",AVERAGE(N:N),N166)+IF(O166="",AVERAGE(O:O),O166)+IF(P166="",AVERAGE(P:P),P166)+IF(Q166="",AVERAGE(Q:Q),Q166)+IF(R166="",AVERAGE(R:R),R166)+IF(S166="",AVERAGE(S:S),S166))))))</f>
        <v>2152</v>
      </c>
    </row>
    <row r="167" spans="1:20" x14ac:dyDescent="0.3">
      <c r="A167" s="1">
        <v>45892.906400462962</v>
      </c>
      <c r="B167">
        <v>1755999913</v>
      </c>
      <c r="C167">
        <v>2.15</v>
      </c>
      <c r="E167">
        <v>3.1666599999999998</v>
      </c>
      <c r="F167">
        <v>2.25</v>
      </c>
      <c r="G167">
        <v>0.68332999999999999</v>
      </c>
      <c r="H167">
        <v>5.3166599999999997</v>
      </c>
      <c r="I167">
        <v>3.23333</v>
      </c>
      <c r="J167">
        <v>7.9333299999999998</v>
      </c>
      <c r="L167">
        <f t="shared" si="0"/>
        <v>129</v>
      </c>
      <c r="M167" t="str">
        <f t="shared" si="1"/>
        <v/>
      </c>
      <c r="N167">
        <f t="shared" si="2"/>
        <v>189.99959999999999</v>
      </c>
      <c r="O167">
        <f t="shared" si="3"/>
        <v>135</v>
      </c>
      <c r="P167">
        <f t="shared" si="4"/>
        <v>40.9998</v>
      </c>
      <c r="Q167">
        <f t="shared" si="5"/>
        <v>318.99959999999999</v>
      </c>
      <c r="R167">
        <f t="shared" si="6"/>
        <v>193.99979999999999</v>
      </c>
      <c r="S167">
        <f t="shared" si="7"/>
        <v>475.99979999999999</v>
      </c>
      <c r="T167" s="3">
        <f>ROUND(IF(L167="",AVERAGE(L:L),L167)+IF(M167="",AVERAGE(M:M),M167)+IF(N167="",AVERAGE(N:N),N167)+IF(O167="",AVERAGE(O:O),O167)+IF(P167="",AVERAGE(P:P),P167)+IF(Q167="",AVERAGE(Q:Q),Q167)+IF(R167="",AVERAGE(R:R),R167)+IF(S167="",AVERAGE(S:S),S167), 4-(1+INT(LOG10(ABS(IF(L167="",AVERAGE(L:L),L167)+IF(M167="",AVERAGE(M:M),M167)+IF(N167="",AVERAGE(N:N),N167)+IF(O167="",AVERAGE(O:O),O167)+IF(P167="",AVERAGE(P:P),P167)+IF(Q167="",AVERAGE(Q:Q),Q167)+IF(R167="",AVERAGE(R:R),R167)+IF(S167="",AVERAGE(S:S),S167))))))</f>
        <v>1974</v>
      </c>
    </row>
    <row r="168" spans="1:20" x14ac:dyDescent="0.3">
      <c r="A168" s="1">
        <v>45892.922418981485</v>
      </c>
      <c r="B168">
        <v>1756001297</v>
      </c>
      <c r="C168">
        <v>2.2000000000000002</v>
      </c>
      <c r="D168">
        <v>6.6166600000000004</v>
      </c>
      <c r="E168">
        <v>3.2166600000000001</v>
      </c>
      <c r="F168">
        <v>2.3166600000000002</v>
      </c>
      <c r="G168">
        <v>0.66666000000000003</v>
      </c>
      <c r="H168">
        <v>5.1666600000000003</v>
      </c>
      <c r="I168">
        <v>3.35</v>
      </c>
      <c r="J168">
        <v>8.0500000000000007</v>
      </c>
      <c r="L168">
        <f t="shared" si="0"/>
        <v>132</v>
      </c>
      <c r="M168">
        <f t="shared" si="1"/>
        <v>396.99960000000004</v>
      </c>
      <c r="N168">
        <f t="shared" si="2"/>
        <v>192.99960000000002</v>
      </c>
      <c r="O168">
        <f t="shared" si="3"/>
        <v>138.99960000000002</v>
      </c>
      <c r="P168">
        <f t="shared" si="4"/>
        <v>39.999600000000001</v>
      </c>
      <c r="Q168">
        <f t="shared" si="5"/>
        <v>309.99959999999999</v>
      </c>
      <c r="R168">
        <f t="shared" si="6"/>
        <v>201</v>
      </c>
      <c r="S168">
        <f t="shared" si="7"/>
        <v>483.00000000000006</v>
      </c>
      <c r="T168" s="3">
        <f>ROUND(IF(L168="",AVERAGE(L:L),L168)+IF(M168="",AVERAGE(M:M),M168)+IF(N168="",AVERAGE(N:N),N168)+IF(O168="",AVERAGE(O:O),O168)+IF(P168="",AVERAGE(P:P),P168)+IF(Q168="",AVERAGE(Q:Q),Q168)+IF(R168="",AVERAGE(R:R),R168)+IF(S168="",AVERAGE(S:S),S168), 4-(1+INT(LOG10(ABS(IF(L168="",AVERAGE(L:L),L168)+IF(M168="",AVERAGE(M:M),M168)+IF(N168="",AVERAGE(N:N),N168)+IF(O168="",AVERAGE(O:O),O168)+IF(P168="",AVERAGE(P:P),P168)+IF(Q168="",AVERAGE(Q:Q),Q168)+IF(R168="",AVERAGE(R:R),R168)+IF(S168="",AVERAGE(S:S),S168))))))</f>
        <v>1895</v>
      </c>
    </row>
    <row r="169" spans="1:20" x14ac:dyDescent="0.3">
      <c r="A169" s="1">
        <v>45892.939699074072</v>
      </c>
      <c r="B169">
        <v>1756002790</v>
      </c>
      <c r="C169">
        <v>2.2166600000000001</v>
      </c>
      <c r="D169">
        <v>7.0333300000000003</v>
      </c>
      <c r="E169">
        <v>3.3833299999999999</v>
      </c>
      <c r="F169">
        <v>2.4500000000000002</v>
      </c>
      <c r="G169">
        <v>0.73333000000000004</v>
      </c>
      <c r="H169">
        <v>6.4833299999999996</v>
      </c>
      <c r="I169">
        <v>3.5833300000000001</v>
      </c>
      <c r="J169">
        <v>8.6999999999999993</v>
      </c>
      <c r="L169">
        <f t="shared" si="0"/>
        <v>132.99960000000002</v>
      </c>
      <c r="M169">
        <f t="shared" si="1"/>
        <v>421.99979999999999</v>
      </c>
      <c r="N169">
        <f t="shared" si="2"/>
        <v>202.99979999999999</v>
      </c>
      <c r="O169">
        <f t="shared" si="3"/>
        <v>147</v>
      </c>
      <c r="P169">
        <f t="shared" si="4"/>
        <v>43.9998</v>
      </c>
      <c r="Q169">
        <f t="shared" si="5"/>
        <v>388.99979999999999</v>
      </c>
      <c r="R169">
        <f t="shared" si="6"/>
        <v>214.99979999999999</v>
      </c>
      <c r="S169">
        <f t="shared" si="7"/>
        <v>522</v>
      </c>
      <c r="T169" s="3">
        <f>ROUND(IF(L169="",AVERAGE(L:L),L169)+IF(M169="",AVERAGE(M:M),M169)+IF(N169="",AVERAGE(N:N),N169)+IF(O169="",AVERAGE(O:O),O169)+IF(P169="",AVERAGE(P:P),P169)+IF(Q169="",AVERAGE(Q:Q),Q169)+IF(R169="",AVERAGE(R:R),R169)+IF(S169="",AVERAGE(S:S),S169), 4-(1+INT(LOG10(ABS(IF(L169="",AVERAGE(L:L),L169)+IF(M169="",AVERAGE(M:M),M169)+IF(N169="",AVERAGE(N:N),N169)+IF(O169="",AVERAGE(O:O),O169)+IF(P169="",AVERAGE(P:P),P169)+IF(Q169="",AVERAGE(Q:Q),Q169)+IF(R169="",AVERAGE(R:R),R169)+IF(S169="",AVERAGE(S:S),S169))))))</f>
        <v>2075</v>
      </c>
    </row>
    <row r="170" spans="1:20" x14ac:dyDescent="0.3">
      <c r="A170" s="1">
        <v>45892.957071759258</v>
      </c>
      <c r="B170">
        <v>1756004291</v>
      </c>
      <c r="C170">
        <v>2.5666600000000002</v>
      </c>
      <c r="D170">
        <v>6.5166599999999999</v>
      </c>
      <c r="E170">
        <v>3.4666600000000001</v>
      </c>
      <c r="F170">
        <v>2.5666600000000002</v>
      </c>
      <c r="G170">
        <v>0.76666000000000001</v>
      </c>
      <c r="H170">
        <v>6.0166599999999999</v>
      </c>
      <c r="I170">
        <v>3.45</v>
      </c>
      <c r="J170">
        <v>9</v>
      </c>
      <c r="L170">
        <f t="shared" si="0"/>
        <v>153.99960000000002</v>
      </c>
      <c r="M170">
        <f t="shared" si="1"/>
        <v>390.99959999999999</v>
      </c>
      <c r="N170">
        <f t="shared" si="2"/>
        <v>207.99960000000002</v>
      </c>
      <c r="O170">
        <f t="shared" si="3"/>
        <v>153.99960000000002</v>
      </c>
      <c r="P170">
        <f t="shared" si="4"/>
        <v>45.999600000000001</v>
      </c>
      <c r="Q170">
        <f t="shared" si="5"/>
        <v>360.99959999999999</v>
      </c>
      <c r="R170">
        <f t="shared" si="6"/>
        <v>207</v>
      </c>
      <c r="S170">
        <f t="shared" si="7"/>
        <v>540</v>
      </c>
      <c r="T170" s="3">
        <f>ROUND(IF(L170="",AVERAGE(L:L),L170)+IF(M170="",AVERAGE(M:M),M170)+IF(N170="",AVERAGE(N:N),N170)+IF(O170="",AVERAGE(O:O),O170)+IF(P170="",AVERAGE(P:P),P170)+IF(Q170="",AVERAGE(Q:Q),Q170)+IF(R170="",AVERAGE(R:R),R170)+IF(S170="",AVERAGE(S:S),S170), 4-(1+INT(LOG10(ABS(IF(L170="",AVERAGE(L:L),L170)+IF(M170="",AVERAGE(M:M),M170)+IF(N170="",AVERAGE(N:N),N170)+IF(O170="",AVERAGE(O:O),O170)+IF(P170="",AVERAGE(P:P),P170)+IF(Q170="",AVERAGE(Q:Q),Q170)+IF(R170="",AVERAGE(R:R),R170)+IF(S170="",AVERAGE(S:S),S170))))))</f>
        <v>2061</v>
      </c>
    </row>
    <row r="171" spans="1:20" x14ac:dyDescent="0.3">
      <c r="A171" s="1">
        <v>45892.973923611113</v>
      </c>
      <c r="B171">
        <v>1756005747</v>
      </c>
      <c r="C171">
        <v>2.73333</v>
      </c>
      <c r="D171">
        <v>6.7833300000000003</v>
      </c>
      <c r="E171">
        <v>2.8</v>
      </c>
      <c r="F171">
        <v>2.5166599999999999</v>
      </c>
      <c r="G171">
        <v>0.68332999999999999</v>
      </c>
      <c r="H171">
        <v>5.5333300000000003</v>
      </c>
      <c r="I171">
        <v>3.6833300000000002</v>
      </c>
      <c r="J171">
        <v>7.8</v>
      </c>
      <c r="L171">
        <f t="shared" si="0"/>
        <v>163.99979999999999</v>
      </c>
      <c r="M171">
        <f t="shared" si="1"/>
        <v>406.99979999999999</v>
      </c>
      <c r="N171">
        <f t="shared" si="2"/>
        <v>168</v>
      </c>
      <c r="O171">
        <f t="shared" si="3"/>
        <v>150.99959999999999</v>
      </c>
      <c r="P171">
        <f t="shared" si="4"/>
        <v>40.9998</v>
      </c>
      <c r="Q171">
        <f t="shared" si="5"/>
        <v>331.99979999999999</v>
      </c>
      <c r="R171">
        <f t="shared" si="6"/>
        <v>220.99980000000002</v>
      </c>
      <c r="S171">
        <f t="shared" si="7"/>
        <v>468</v>
      </c>
      <c r="T171" s="3">
        <f>ROUND(IF(L171="",AVERAGE(L:L),L171)+IF(M171="",AVERAGE(M:M),M171)+IF(N171="",AVERAGE(N:N),N171)+IF(O171="",AVERAGE(O:O),O171)+IF(P171="",AVERAGE(P:P),P171)+IF(Q171="",AVERAGE(Q:Q),Q171)+IF(R171="",AVERAGE(R:R),R171)+IF(S171="",AVERAGE(S:S),S171), 4-(1+INT(LOG10(ABS(IF(L171="",AVERAGE(L:L),L171)+IF(M171="",AVERAGE(M:M),M171)+IF(N171="",AVERAGE(N:N),N171)+IF(O171="",AVERAGE(O:O),O171)+IF(P171="",AVERAGE(P:P),P171)+IF(Q171="",AVERAGE(Q:Q),Q171)+IF(R171="",AVERAGE(R:R),R171)+IF(S171="",AVERAGE(S:S),S171))))))</f>
        <v>1952</v>
      </c>
    </row>
    <row r="172" spans="1:20" x14ac:dyDescent="0.3">
      <c r="A172" s="1">
        <v>45892.99050925926</v>
      </c>
      <c r="B172">
        <v>1756007180</v>
      </c>
      <c r="C172">
        <v>2.1333299999999999</v>
      </c>
      <c r="D172">
        <v>6.2833300000000003</v>
      </c>
      <c r="E172">
        <v>3.6</v>
      </c>
      <c r="F172">
        <v>2.6</v>
      </c>
      <c r="G172">
        <v>0.96665999999999996</v>
      </c>
      <c r="H172">
        <v>5.1666600000000003</v>
      </c>
      <c r="I172">
        <v>3.4</v>
      </c>
      <c r="J172">
        <v>8.0666600000000006</v>
      </c>
      <c r="L172">
        <f t="shared" si="0"/>
        <v>127.99979999999999</v>
      </c>
      <c r="M172">
        <f t="shared" si="1"/>
        <v>376.99979999999999</v>
      </c>
      <c r="N172">
        <f t="shared" si="2"/>
        <v>216</v>
      </c>
      <c r="O172">
        <f t="shared" si="3"/>
        <v>156</v>
      </c>
      <c r="P172">
        <f t="shared" si="4"/>
        <v>57.999600000000001</v>
      </c>
      <c r="Q172">
        <f t="shared" si="5"/>
        <v>309.99959999999999</v>
      </c>
      <c r="R172">
        <f t="shared" si="6"/>
        <v>204</v>
      </c>
      <c r="S172">
        <f t="shared" si="7"/>
        <v>483.99960000000004</v>
      </c>
      <c r="T172" s="3">
        <f>ROUND(IF(L172="",AVERAGE(L:L),L172)+IF(M172="",AVERAGE(M:M),M172)+IF(N172="",AVERAGE(N:N),N172)+IF(O172="",AVERAGE(O:O),O172)+IF(P172="",AVERAGE(P:P),P172)+IF(Q172="",AVERAGE(Q:Q),Q172)+IF(R172="",AVERAGE(R:R),R172)+IF(S172="",AVERAGE(S:S),S172), 4-(1+INT(LOG10(ABS(IF(L172="",AVERAGE(L:L),L172)+IF(M172="",AVERAGE(M:M),M172)+IF(N172="",AVERAGE(N:N),N172)+IF(O172="",AVERAGE(O:O),O172)+IF(P172="",AVERAGE(P:P),P172)+IF(Q172="",AVERAGE(Q:Q),Q172)+IF(R172="",AVERAGE(R:R),R172)+IF(S172="",AVERAGE(S:S),S172))))))</f>
        <v>1933</v>
      </c>
    </row>
    <row r="173" spans="1:20" x14ac:dyDescent="0.3">
      <c r="A173" s="1">
        <v>45893.006944444445</v>
      </c>
      <c r="B173">
        <v>1756008600</v>
      </c>
      <c r="C173">
        <v>2.1333299999999999</v>
      </c>
      <c r="D173">
        <v>6.3833299999999999</v>
      </c>
      <c r="E173">
        <v>3.1666599999999998</v>
      </c>
      <c r="F173">
        <v>2.2833299999999999</v>
      </c>
      <c r="G173">
        <v>0.65</v>
      </c>
      <c r="H173">
        <v>5.65</v>
      </c>
      <c r="I173">
        <v>3.3</v>
      </c>
      <c r="J173">
        <v>8.3333300000000001</v>
      </c>
      <c r="L173">
        <f t="shared" si="0"/>
        <v>127.99979999999999</v>
      </c>
      <c r="M173">
        <f t="shared" si="1"/>
        <v>382.99979999999999</v>
      </c>
      <c r="N173">
        <f t="shared" si="2"/>
        <v>189.99959999999999</v>
      </c>
      <c r="O173">
        <f t="shared" si="3"/>
        <v>136.99979999999999</v>
      </c>
      <c r="P173">
        <f t="shared" si="4"/>
        <v>39</v>
      </c>
      <c r="Q173">
        <f t="shared" si="5"/>
        <v>339</v>
      </c>
      <c r="R173">
        <f t="shared" si="6"/>
        <v>198</v>
      </c>
      <c r="S173">
        <f t="shared" si="7"/>
        <v>499.99979999999999</v>
      </c>
      <c r="T173" s="3">
        <f>ROUND(IF(L173="",AVERAGE(L:L),L173)+IF(M173="",AVERAGE(M:M),M173)+IF(N173="",AVERAGE(N:N),N173)+IF(O173="",AVERAGE(O:O),O173)+IF(P173="",AVERAGE(P:P),P173)+IF(Q173="",AVERAGE(Q:Q),Q173)+IF(R173="",AVERAGE(R:R),R173)+IF(S173="",AVERAGE(S:S),S173), 4-(1+INT(LOG10(ABS(IF(L173="",AVERAGE(L:L),L173)+IF(M173="",AVERAGE(M:M),M173)+IF(N173="",AVERAGE(N:N),N173)+IF(O173="",AVERAGE(O:O),O173)+IF(P173="",AVERAGE(P:P),P173)+IF(Q173="",AVERAGE(Q:Q),Q173)+IF(R173="",AVERAGE(R:R),R173)+IF(S173="",AVERAGE(S:S),S173))))))</f>
        <v>1914</v>
      </c>
    </row>
    <row r="174" spans="1:20" x14ac:dyDescent="0.3">
      <c r="A174" s="1">
        <v>45893.022881944446</v>
      </c>
      <c r="B174">
        <v>1756009977</v>
      </c>
      <c r="C174">
        <v>2.1</v>
      </c>
      <c r="D174">
        <v>6.7333299999999996</v>
      </c>
      <c r="E174">
        <v>3.1666599999999998</v>
      </c>
      <c r="F174">
        <v>2.2833299999999999</v>
      </c>
      <c r="G174">
        <v>0.71665999999999996</v>
      </c>
      <c r="H174">
        <v>5.3833299999999999</v>
      </c>
      <c r="I174">
        <v>3.2833299999999999</v>
      </c>
      <c r="J174">
        <v>8.6666600000000003</v>
      </c>
      <c r="L174">
        <f t="shared" si="0"/>
        <v>126</v>
      </c>
      <c r="M174">
        <f t="shared" si="1"/>
        <v>403.99979999999999</v>
      </c>
      <c r="N174">
        <f t="shared" si="2"/>
        <v>189.99959999999999</v>
      </c>
      <c r="O174">
        <f t="shared" si="3"/>
        <v>136.99979999999999</v>
      </c>
      <c r="P174">
        <f t="shared" si="4"/>
        <v>42.999600000000001</v>
      </c>
      <c r="Q174">
        <f t="shared" si="5"/>
        <v>322.99979999999999</v>
      </c>
      <c r="R174">
        <f t="shared" si="6"/>
        <v>196.99979999999999</v>
      </c>
      <c r="S174">
        <f t="shared" si="7"/>
        <v>519.99959999999999</v>
      </c>
      <c r="T174" s="3">
        <f>ROUND(IF(L174="",AVERAGE(L:L),L174)+IF(M174="",AVERAGE(M:M),M174)+IF(N174="",AVERAGE(N:N),N174)+IF(O174="",AVERAGE(O:O),O174)+IF(P174="",AVERAGE(P:P),P174)+IF(Q174="",AVERAGE(Q:Q),Q174)+IF(R174="",AVERAGE(R:R),R174)+IF(S174="",AVERAGE(S:S),S174), 4-(1+INT(LOG10(ABS(IF(L174="",AVERAGE(L:L),L174)+IF(M174="",AVERAGE(M:M),M174)+IF(N174="",AVERAGE(N:N),N174)+IF(O174="",AVERAGE(O:O),O174)+IF(P174="",AVERAGE(P:P),P174)+IF(Q174="",AVERAGE(Q:Q),Q174)+IF(R174="",AVERAGE(R:R),R174)+IF(S174="",AVERAGE(S:S),S174))))))</f>
        <v>1940</v>
      </c>
    </row>
    <row r="175" spans="1:20" x14ac:dyDescent="0.3">
      <c r="L175" t="str">
        <f>IF(C175="","",C175*60)</f>
        <v/>
      </c>
      <c r="M175" t="str">
        <f>IF(D175="","",D175*60)</f>
        <v/>
      </c>
      <c r="N175" t="str">
        <f>IF(E175="","",E175*60)</f>
        <v/>
      </c>
      <c r="O175" t="str">
        <f>IF(F175="","",F175*60)</f>
        <v/>
      </c>
      <c r="P175" t="str">
        <f>IF(G175="","",G175*60)</f>
        <v/>
      </c>
      <c r="Q175" t="str">
        <f>IF(H175="","",H175*60)</f>
        <v/>
      </c>
      <c r="R175" t="str">
        <f>IF(I175="","",I175*60)</f>
        <v/>
      </c>
      <c r="S175" t="str">
        <f>IF(J175="","",J175*60)</f>
        <v/>
      </c>
    </row>
    <row r="176" spans="1:20" x14ac:dyDescent="0.3">
      <c r="L176" t="str">
        <f>IF(C176="","",C176*60)</f>
        <v/>
      </c>
      <c r="M176" t="str">
        <f>IF(D176="","",D176*60)</f>
        <v/>
      </c>
      <c r="N176" t="str">
        <f>IF(E176="","",E176*60)</f>
        <v/>
      </c>
      <c r="O176" t="str">
        <f>IF(F176="","",F176*60)</f>
        <v/>
      </c>
      <c r="P176" t="str">
        <f>IF(G176="","",G176*60)</f>
        <v/>
      </c>
      <c r="Q176" t="str">
        <f>IF(H176="","",H176*60)</f>
        <v/>
      </c>
      <c r="R176" t="str">
        <f>IF(I176="","",I176*60)</f>
        <v/>
      </c>
      <c r="S176" t="str">
        <f>IF(J176="","",J176*60)</f>
        <v/>
      </c>
    </row>
    <row r="177" spans="12:19" x14ac:dyDescent="0.3">
      <c r="L177" t="str">
        <f>IF(C177="","",C177*60)</f>
        <v/>
      </c>
      <c r="M177" t="str">
        <f>IF(D177="","",D177*60)</f>
        <v/>
      </c>
      <c r="N177" t="str">
        <f>IF(E177="","",E177*60)</f>
        <v/>
      </c>
      <c r="O177" t="str">
        <f>IF(F177="","",F177*60)</f>
        <v/>
      </c>
      <c r="P177" t="str">
        <f>IF(G177="","",G177*60)</f>
        <v/>
      </c>
      <c r="Q177" t="str">
        <f>IF(H177="","",H177*60)</f>
        <v/>
      </c>
      <c r="R177" t="str">
        <f>IF(I177="","",I177*60)</f>
        <v/>
      </c>
      <c r="S177" t="str">
        <f>IF(J177="","",J177*60)</f>
        <v/>
      </c>
    </row>
    <row r="178" spans="12:19" x14ac:dyDescent="0.3">
      <c r="L178" t="str">
        <f>IF(C178="","",C178*60)</f>
        <v/>
      </c>
      <c r="M178" t="str">
        <f>IF(D178="","",D178*60)</f>
        <v/>
      </c>
      <c r="N178" t="str">
        <f>IF(E178="","",E178*60)</f>
        <v/>
      </c>
      <c r="O178" t="str">
        <f>IF(F178="","",F178*60)</f>
        <v/>
      </c>
      <c r="P178" t="str">
        <f>IF(G178="","",G178*60)</f>
        <v/>
      </c>
      <c r="Q178" t="str">
        <f>IF(H178="","",H178*60)</f>
        <v/>
      </c>
      <c r="R178" t="str">
        <f>IF(I178="","",I178*60)</f>
        <v/>
      </c>
      <c r="S178" t="str">
        <f>IF(J178="","",J178*60)</f>
        <v/>
      </c>
    </row>
    <row r="179" spans="12:19" x14ac:dyDescent="0.3">
      <c r="L179" t="str">
        <f>IF(C179="","",C179*60)</f>
        <v/>
      </c>
      <c r="M179" t="str">
        <f>IF(D179="","",D179*60)</f>
        <v/>
      </c>
      <c r="N179" t="str">
        <f>IF(E179="","",E179*60)</f>
        <v/>
      </c>
      <c r="O179" t="str">
        <f>IF(F179="","",F179*60)</f>
        <v/>
      </c>
      <c r="P179" t="str">
        <f>IF(G179="","",G179*60)</f>
        <v/>
      </c>
      <c r="Q179" t="str">
        <f>IF(H179="","",H179*60)</f>
        <v/>
      </c>
      <c r="R179" t="str">
        <f>IF(I179="","",I179*60)</f>
        <v/>
      </c>
      <c r="S179" t="str">
        <f>IF(J179="","",J179*60)</f>
        <v/>
      </c>
    </row>
    <row r="180" spans="12:19" x14ac:dyDescent="0.3">
      <c r="L180" t="str">
        <f>IF(C180="","",C180*60)</f>
        <v/>
      </c>
      <c r="M180" t="str">
        <f>IF(D180="","",D180*60)</f>
        <v/>
      </c>
      <c r="N180" t="str">
        <f>IF(E180="","",E180*60)</f>
        <v/>
      </c>
      <c r="O180" t="str">
        <f>IF(F180="","",F180*60)</f>
        <v/>
      </c>
      <c r="P180" t="str">
        <f>IF(G180="","",G180*60)</f>
        <v/>
      </c>
      <c r="Q180" t="str">
        <f>IF(H180="","",H180*60)</f>
        <v/>
      </c>
      <c r="R180" t="str">
        <f>IF(I180="","",I180*60)</f>
        <v/>
      </c>
      <c r="S180" t="str">
        <f>IF(J180="","",J180*60)</f>
        <v/>
      </c>
    </row>
    <row r="181" spans="12:19" x14ac:dyDescent="0.3">
      <c r="L181" t="str">
        <f>IF(C181="","",C181*60)</f>
        <v/>
      </c>
      <c r="M181" t="str">
        <f>IF(D181="","",D181*60)</f>
        <v/>
      </c>
      <c r="N181" t="str">
        <f>IF(E181="","",E181*60)</f>
        <v/>
      </c>
      <c r="O181" t="str">
        <f>IF(F181="","",F181*60)</f>
        <v/>
      </c>
      <c r="P181" t="str">
        <f>IF(G181="","",G181*60)</f>
        <v/>
      </c>
      <c r="Q181" t="str">
        <f>IF(H181="","",H181*60)</f>
        <v/>
      </c>
      <c r="R181" t="str">
        <f>IF(I181="","",I181*60)</f>
        <v/>
      </c>
      <c r="S181" t="str">
        <f>IF(J181="","",J181*60)</f>
        <v/>
      </c>
    </row>
    <row r="182" spans="12:19" x14ac:dyDescent="0.3">
      <c r="L182" t="str">
        <f>IF(C182="","",C182*60)</f>
        <v/>
      </c>
      <c r="M182" t="str">
        <f>IF(D182="","",D182*60)</f>
        <v/>
      </c>
      <c r="N182" t="str">
        <f>IF(E182="","",E182*60)</f>
        <v/>
      </c>
      <c r="O182" t="str">
        <f>IF(F182="","",F182*60)</f>
        <v/>
      </c>
      <c r="P182" t="str">
        <f>IF(G182="","",G182*60)</f>
        <v/>
      </c>
      <c r="Q182" t="str">
        <f>IF(H182="","",H182*60)</f>
        <v/>
      </c>
      <c r="R182" t="str">
        <f>IF(I182="","",I182*60)</f>
        <v/>
      </c>
      <c r="S182" t="str">
        <f>IF(J182="","",J182*60)</f>
        <v/>
      </c>
    </row>
    <row r="183" spans="12:19" x14ac:dyDescent="0.3">
      <c r="L183" t="str">
        <f>IF(C183="","",C183*60)</f>
        <v/>
      </c>
      <c r="M183" t="str">
        <f>IF(D183="","",D183*60)</f>
        <v/>
      </c>
      <c r="N183" t="str">
        <f>IF(E183="","",E183*60)</f>
        <v/>
      </c>
      <c r="O183" t="str">
        <f>IF(F183="","",F183*60)</f>
        <v/>
      </c>
      <c r="P183" t="str">
        <f>IF(G183="","",G183*60)</f>
        <v/>
      </c>
      <c r="Q183" t="str">
        <f>IF(H183="","",H183*60)</f>
        <v/>
      </c>
      <c r="R183" t="str">
        <f>IF(I183="","",I183*60)</f>
        <v/>
      </c>
      <c r="S183" t="str">
        <f>IF(J183="","",J183*60)</f>
        <v/>
      </c>
    </row>
    <row r="184" spans="12:19" x14ac:dyDescent="0.3">
      <c r="L184" t="str">
        <f>IF(C184="","",C184*60)</f>
        <v/>
      </c>
      <c r="M184" t="str">
        <f>IF(D184="","",D184*60)</f>
        <v/>
      </c>
      <c r="N184" t="str">
        <f>IF(E184="","",E184*60)</f>
        <v/>
      </c>
      <c r="O184" t="str">
        <f>IF(F184="","",F184*60)</f>
        <v/>
      </c>
      <c r="P184" t="str">
        <f>IF(G184="","",G184*60)</f>
        <v/>
      </c>
      <c r="Q184" t="str">
        <f>IF(H184="","",H184*60)</f>
        <v/>
      </c>
      <c r="R184" t="str">
        <f>IF(I184="","",I184*60)</f>
        <v/>
      </c>
      <c r="S184" t="str">
        <f>IF(J184="","",J184*60)</f>
        <v/>
      </c>
    </row>
    <row r="185" spans="12:19" x14ac:dyDescent="0.3">
      <c r="L185" t="str">
        <f>IF(C185="","",C185*60)</f>
        <v/>
      </c>
      <c r="M185" t="str">
        <f>IF(D185="","",D185*60)</f>
        <v/>
      </c>
      <c r="N185" t="str">
        <f>IF(E185="","",E185*60)</f>
        <v/>
      </c>
      <c r="O185" t="str">
        <f>IF(F185="","",F185*60)</f>
        <v/>
      </c>
      <c r="P185" t="str">
        <f>IF(G185="","",G185*60)</f>
        <v/>
      </c>
      <c r="Q185" t="str">
        <f>IF(H185="","",H185*60)</f>
        <v/>
      </c>
      <c r="R185" t="str">
        <f>IF(I185="","",I185*60)</f>
        <v/>
      </c>
      <c r="S185" t="str">
        <f>IF(J185="","",J185*60)</f>
        <v/>
      </c>
    </row>
    <row r="186" spans="12:19" x14ac:dyDescent="0.3">
      <c r="L186" t="str">
        <f>IF(C186="","",C186*60)</f>
        <v/>
      </c>
      <c r="M186" t="str">
        <f>IF(D186="","",D186*60)</f>
        <v/>
      </c>
      <c r="N186" t="str">
        <f>IF(E186="","",E186*60)</f>
        <v/>
      </c>
      <c r="O186" t="str">
        <f>IF(F186="","",F186*60)</f>
        <v/>
      </c>
      <c r="P186" t="str">
        <f>IF(G186="","",G186*60)</f>
        <v/>
      </c>
      <c r="Q186" t="str">
        <f>IF(H186="","",H186*60)</f>
        <v/>
      </c>
      <c r="R186" t="str">
        <f>IF(I186="","",I186*60)</f>
        <v/>
      </c>
      <c r="S186" t="str">
        <f>IF(J186="","",J186*60)</f>
        <v/>
      </c>
    </row>
    <row r="187" spans="12:19" x14ac:dyDescent="0.3">
      <c r="L187" t="str">
        <f>IF(C187="","",C187*60)</f>
        <v/>
      </c>
      <c r="M187" t="str">
        <f>IF(D187="","",D187*60)</f>
        <v/>
      </c>
      <c r="N187" t="str">
        <f>IF(E187="","",E187*60)</f>
        <v/>
      </c>
      <c r="O187" t="str">
        <f>IF(F187="","",F187*60)</f>
        <v/>
      </c>
      <c r="P187" t="str">
        <f>IF(G187="","",G187*60)</f>
        <v/>
      </c>
      <c r="Q187" t="str">
        <f>IF(H187="","",H187*60)</f>
        <v/>
      </c>
      <c r="R187" t="str">
        <f>IF(I187="","",I187*60)</f>
        <v/>
      </c>
      <c r="S187" t="str">
        <f>IF(J187="","",J187*60)</f>
        <v/>
      </c>
    </row>
    <row r="188" spans="12:19" x14ac:dyDescent="0.3">
      <c r="L188" t="str">
        <f>IF(C188="","",C188*60)</f>
        <v/>
      </c>
      <c r="M188" t="str">
        <f>IF(D188="","",D188*60)</f>
        <v/>
      </c>
      <c r="N188" t="str">
        <f>IF(E188="","",E188*60)</f>
        <v/>
      </c>
      <c r="O188" t="str">
        <f>IF(F188="","",F188*60)</f>
        <v/>
      </c>
      <c r="P188" t="str">
        <f>IF(G188="","",G188*60)</f>
        <v/>
      </c>
      <c r="Q188" t="str">
        <f>IF(H188="","",H188*60)</f>
        <v/>
      </c>
      <c r="R188" t="str">
        <f>IF(I188="","",I188*60)</f>
        <v/>
      </c>
      <c r="S188" t="str">
        <f>IF(J188="","",J188*60)</f>
        <v/>
      </c>
    </row>
    <row r="189" spans="12:19" x14ac:dyDescent="0.3">
      <c r="L189" t="str">
        <f>IF(C189="","",C189*60)</f>
        <v/>
      </c>
      <c r="M189" t="str">
        <f>IF(D189="","",D189*60)</f>
        <v/>
      </c>
      <c r="N189" t="str">
        <f>IF(E189="","",E189*60)</f>
        <v/>
      </c>
      <c r="O189" t="str">
        <f>IF(F189="","",F189*60)</f>
        <v/>
      </c>
      <c r="P189" t="str">
        <f>IF(G189="","",G189*60)</f>
        <v/>
      </c>
      <c r="Q189" t="str">
        <f>IF(H189="","",H189*60)</f>
        <v/>
      </c>
      <c r="R189" t="str">
        <f>IF(I189="","",I189*60)</f>
        <v/>
      </c>
      <c r="S189" t="str">
        <f>IF(J189="","",J189*60)</f>
        <v/>
      </c>
    </row>
    <row r="190" spans="12:19" x14ac:dyDescent="0.3">
      <c r="L190" t="str">
        <f>IF(C190="","",C190*60)</f>
        <v/>
      </c>
      <c r="M190" t="str">
        <f>IF(D190="","",D190*60)</f>
        <v/>
      </c>
      <c r="N190" t="str">
        <f>IF(E190="","",E190*60)</f>
        <v/>
      </c>
      <c r="O190" t="str">
        <f>IF(F190="","",F190*60)</f>
        <v/>
      </c>
      <c r="P190" t="str">
        <f>IF(G190="","",G190*60)</f>
        <v/>
      </c>
      <c r="Q190" t="str">
        <f>IF(H190="","",H190*60)</f>
        <v/>
      </c>
      <c r="R190" t="str">
        <f>IF(I190="","",I190*60)</f>
        <v/>
      </c>
      <c r="S190" t="str">
        <f>IF(J190="","",J190*60)</f>
        <v/>
      </c>
    </row>
    <row r="191" spans="12:19" x14ac:dyDescent="0.3">
      <c r="L191" t="str">
        <f>IF(C191="","",C191*60)</f>
        <v/>
      </c>
      <c r="M191" t="str">
        <f>IF(D191="","",D191*60)</f>
        <v/>
      </c>
      <c r="N191" t="str">
        <f>IF(E191="","",E191*60)</f>
        <v/>
      </c>
      <c r="O191" t="str">
        <f>IF(F191="","",F191*60)</f>
        <v/>
      </c>
      <c r="P191" t="str">
        <f>IF(G191="","",G191*60)</f>
        <v/>
      </c>
      <c r="Q191" t="str">
        <f>IF(H191="","",H191*60)</f>
        <v/>
      </c>
      <c r="R191" t="str">
        <f>IF(I191="","",I191*60)</f>
        <v/>
      </c>
      <c r="S191" t="str">
        <f>IF(J191="","",J191*60)</f>
        <v/>
      </c>
    </row>
    <row r="192" spans="12:19" x14ac:dyDescent="0.3">
      <c r="L192" t="str">
        <f>IF(C192="","",C192*60)</f>
        <v/>
      </c>
      <c r="M192" t="str">
        <f>IF(D192="","",D192*60)</f>
        <v/>
      </c>
      <c r="N192" t="str">
        <f>IF(E192="","",E192*60)</f>
        <v/>
      </c>
      <c r="O192" t="str">
        <f>IF(F192="","",F192*60)</f>
        <v/>
      </c>
      <c r="P192" t="str">
        <f>IF(G192="","",G192*60)</f>
        <v/>
      </c>
      <c r="Q192" t="str">
        <f>IF(H192="","",H192*60)</f>
        <v/>
      </c>
      <c r="R192" t="str">
        <f>IF(I192="","",I192*60)</f>
        <v/>
      </c>
      <c r="S192" t="str">
        <f>IF(J192="","",J192*60)</f>
        <v/>
      </c>
    </row>
    <row r="193" spans="12:19" x14ac:dyDescent="0.3">
      <c r="L193" t="str">
        <f>IF(C193="","",C193*60)</f>
        <v/>
      </c>
      <c r="M193" t="str">
        <f>IF(D193="","",D193*60)</f>
        <v/>
      </c>
      <c r="N193" t="str">
        <f>IF(E193="","",E193*60)</f>
        <v/>
      </c>
      <c r="O193" t="str">
        <f>IF(F193="","",F193*60)</f>
        <v/>
      </c>
      <c r="P193" t="str">
        <f>IF(G193="","",G193*60)</f>
        <v/>
      </c>
      <c r="Q193" t="str">
        <f>IF(H193="","",H193*60)</f>
        <v/>
      </c>
      <c r="R193" t="str">
        <f>IF(I193="","",I193*60)</f>
        <v/>
      </c>
      <c r="S193" t="str">
        <f>IF(J193="","",J193*60)</f>
        <v/>
      </c>
    </row>
    <row r="194" spans="12:19" x14ac:dyDescent="0.3">
      <c r="L194" t="str">
        <f>IF(C194="","",C194*60)</f>
        <v/>
      </c>
      <c r="M194" t="str">
        <f>IF(D194="","",D194*60)</f>
        <v/>
      </c>
      <c r="N194" t="str">
        <f>IF(E194="","",E194*60)</f>
        <v/>
      </c>
      <c r="O194" t="str">
        <f>IF(F194="","",F194*60)</f>
        <v/>
      </c>
      <c r="P194" t="str">
        <f>IF(G194="","",G194*60)</f>
        <v/>
      </c>
      <c r="Q194" t="str">
        <f>IF(H194="","",H194*60)</f>
        <v/>
      </c>
      <c r="R194" t="str">
        <f>IF(I194="","",I194*60)</f>
        <v/>
      </c>
      <c r="S194" t="str">
        <f>IF(J194="","",J194*60)</f>
        <v/>
      </c>
    </row>
    <row r="195" spans="12:19" x14ac:dyDescent="0.3">
      <c r="L195" t="str">
        <f>IF(C195="","",C195*60)</f>
        <v/>
      </c>
      <c r="M195" t="str">
        <f>IF(D195="","",D195*60)</f>
        <v/>
      </c>
      <c r="N195" t="str">
        <f>IF(E195="","",E195*60)</f>
        <v/>
      </c>
      <c r="O195" t="str">
        <f>IF(F195="","",F195*60)</f>
        <v/>
      </c>
      <c r="P195" t="str">
        <f>IF(G195="","",G195*60)</f>
        <v/>
      </c>
      <c r="Q195" t="str">
        <f>IF(H195="","",H195*60)</f>
        <v/>
      </c>
      <c r="R195" t="str">
        <f>IF(I195="","",I195*60)</f>
        <v/>
      </c>
      <c r="S195" t="str">
        <f>IF(J195="","",J195*60)</f>
        <v/>
      </c>
    </row>
    <row r="196" spans="12:19" x14ac:dyDescent="0.3">
      <c r="L196" t="str">
        <f>IF(C196="","",C196*60)</f>
        <v/>
      </c>
      <c r="M196" t="str">
        <f>IF(D196="","",D196*60)</f>
        <v/>
      </c>
      <c r="N196" t="str">
        <f>IF(E196="","",E196*60)</f>
        <v/>
      </c>
      <c r="O196" t="str">
        <f>IF(F196="","",F196*60)</f>
        <v/>
      </c>
      <c r="P196" t="str">
        <f>IF(G196="","",G196*60)</f>
        <v/>
      </c>
      <c r="Q196" t="str">
        <f>IF(H196="","",H196*60)</f>
        <v/>
      </c>
      <c r="R196" t="str">
        <f>IF(I196="","",I196*60)</f>
        <v/>
      </c>
      <c r="S196" t="str">
        <f>IF(J196="","",J196*60)</f>
        <v/>
      </c>
    </row>
    <row r="197" spans="12:19" x14ac:dyDescent="0.3">
      <c r="L197" t="str">
        <f>IF(C197="","",C197*60)</f>
        <v/>
      </c>
      <c r="M197" t="str">
        <f>IF(D197="","",D197*60)</f>
        <v/>
      </c>
      <c r="N197" t="str">
        <f>IF(E197="","",E197*60)</f>
        <v/>
      </c>
      <c r="O197" t="str">
        <f>IF(F197="","",F197*60)</f>
        <v/>
      </c>
      <c r="P197" t="str">
        <f>IF(G197="","",G197*60)</f>
        <v/>
      </c>
      <c r="Q197" t="str">
        <f>IF(H197="","",H197*60)</f>
        <v/>
      </c>
      <c r="R197" t="str">
        <f>IF(I197="","",I197*60)</f>
        <v/>
      </c>
      <c r="S197" t="str">
        <f>IF(J197="","",J197*60)</f>
        <v/>
      </c>
    </row>
    <row r="198" spans="12:19" x14ac:dyDescent="0.3">
      <c r="L198" t="str">
        <f>IF(C198="","",C198*60)</f>
        <v/>
      </c>
      <c r="M198" t="str">
        <f>IF(D198="","",D198*60)</f>
        <v/>
      </c>
      <c r="N198" t="str">
        <f>IF(E198="","",E198*60)</f>
        <v/>
      </c>
      <c r="O198" t="str">
        <f>IF(F198="","",F198*60)</f>
        <v/>
      </c>
      <c r="P198" t="str">
        <f>IF(G198="","",G198*60)</f>
        <v/>
      </c>
      <c r="Q198" t="str">
        <f>IF(H198="","",H198*60)</f>
        <v/>
      </c>
      <c r="R198" t="str">
        <f>IF(I198="","",I198*60)</f>
        <v/>
      </c>
      <c r="S198" t="str">
        <f>IF(J198="","",J198*60)</f>
        <v/>
      </c>
    </row>
    <row r="199" spans="12:19" x14ac:dyDescent="0.3">
      <c r="L199" t="str">
        <f>IF(C199="","",C199*60)</f>
        <v/>
      </c>
      <c r="M199" t="str">
        <f>IF(D199="","",D199*60)</f>
        <v/>
      </c>
      <c r="N199" t="str">
        <f>IF(E199="","",E199*60)</f>
        <v/>
      </c>
      <c r="O199" t="str">
        <f>IF(F199="","",F199*60)</f>
        <v/>
      </c>
      <c r="P199" t="str">
        <f>IF(G199="","",G199*60)</f>
        <v/>
      </c>
      <c r="Q199" t="str">
        <f>IF(H199="","",H199*60)</f>
        <v/>
      </c>
      <c r="R199" t="str">
        <f>IF(I199="","",I199*60)</f>
        <v/>
      </c>
      <c r="S199" t="str">
        <f>IF(J199="","",J199*60)</f>
        <v/>
      </c>
    </row>
    <row r="200" spans="12:19" x14ac:dyDescent="0.3">
      <c r="L200" t="str">
        <f>IF(C200="","",C200*60)</f>
        <v/>
      </c>
      <c r="M200" t="str">
        <f>IF(D200="","",D200*60)</f>
        <v/>
      </c>
      <c r="N200" t="str">
        <f>IF(E200="","",E200*60)</f>
        <v/>
      </c>
      <c r="O200" t="str">
        <f>IF(F200="","",F200*60)</f>
        <v/>
      </c>
      <c r="P200" t="str">
        <f>IF(G200="","",G200*60)</f>
        <v/>
      </c>
      <c r="Q200" t="str">
        <f>IF(H200="","",H200*60)</f>
        <v/>
      </c>
      <c r="R200" t="str">
        <f>IF(I200="","",I200*60)</f>
        <v/>
      </c>
      <c r="S200" t="str">
        <f>IF(J200="","",J200*60)</f>
        <v/>
      </c>
    </row>
    <row r="201" spans="12:19" x14ac:dyDescent="0.3">
      <c r="L201" t="str">
        <f>IF(C201="","",C201*60)</f>
        <v/>
      </c>
      <c r="M201" t="str">
        <f>IF(D201="","",D201*60)</f>
        <v/>
      </c>
      <c r="N201" t="str">
        <f>IF(E201="","",E201*60)</f>
        <v/>
      </c>
      <c r="O201" t="str">
        <f>IF(F201="","",F201*60)</f>
        <v/>
      </c>
      <c r="P201" t="str">
        <f>IF(G201="","",G201*60)</f>
        <v/>
      </c>
      <c r="Q201" t="str">
        <f>IF(H201="","",H201*60)</f>
        <v/>
      </c>
      <c r="R201" t="str">
        <f>IF(I201="","",I201*60)</f>
        <v/>
      </c>
      <c r="S201" t="str">
        <f>IF(J201="","",J201*60)</f>
        <v/>
      </c>
    </row>
    <row r="202" spans="12:19" x14ac:dyDescent="0.3">
      <c r="L202" t="str">
        <f t="shared" ref="L202:L265" si="8">IF(C202="","",C202*60)</f>
        <v/>
      </c>
      <c r="M202" t="str">
        <f t="shared" ref="M202:M265" si="9">IF(D202="","",D202*60)</f>
        <v/>
      </c>
      <c r="N202" t="str">
        <f t="shared" ref="N202:N265" si="10">IF(E202="","",E202*60)</f>
        <v/>
      </c>
      <c r="O202" t="str">
        <f t="shared" ref="O202:O265" si="11">IF(F202="","",F202*60)</f>
        <v/>
      </c>
      <c r="P202" t="str">
        <f t="shared" ref="P202:P265" si="12">IF(G202="","",G202*60)</f>
        <v/>
      </c>
      <c r="Q202" t="str">
        <f t="shared" ref="Q202:Q265" si="13">IF(H202="","",H202*60)</f>
        <v/>
      </c>
      <c r="R202" t="str">
        <f t="shared" ref="R202:R265" si="14">IF(I202="","",I202*60)</f>
        <v/>
      </c>
      <c r="S202" t="str">
        <f t="shared" ref="S202:S265" si="15">IF(J202="","",J202*60)</f>
        <v/>
      </c>
    </row>
    <row r="203" spans="12:19" x14ac:dyDescent="0.3">
      <c r="L203" t="str">
        <f t="shared" si="8"/>
        <v/>
      </c>
      <c r="M203" t="str">
        <f t="shared" si="9"/>
        <v/>
      </c>
      <c r="N203" t="str">
        <f t="shared" si="10"/>
        <v/>
      </c>
      <c r="O203" t="str">
        <f t="shared" si="11"/>
        <v/>
      </c>
      <c r="P203" t="str">
        <f t="shared" si="12"/>
        <v/>
      </c>
      <c r="Q203" t="str">
        <f t="shared" si="13"/>
        <v/>
      </c>
      <c r="R203" t="str">
        <f t="shared" si="14"/>
        <v/>
      </c>
      <c r="S203" t="str">
        <f t="shared" si="15"/>
        <v/>
      </c>
    </row>
    <row r="204" spans="12:19" x14ac:dyDescent="0.3">
      <c r="L204" t="str">
        <f t="shared" si="8"/>
        <v/>
      </c>
      <c r="M204" t="str">
        <f t="shared" si="9"/>
        <v/>
      </c>
      <c r="N204" t="str">
        <f t="shared" si="10"/>
        <v/>
      </c>
      <c r="O204" t="str">
        <f t="shared" si="11"/>
        <v/>
      </c>
      <c r="P204" t="str">
        <f t="shared" si="12"/>
        <v/>
      </c>
      <c r="Q204" t="str">
        <f t="shared" si="13"/>
        <v/>
      </c>
      <c r="R204" t="str">
        <f t="shared" si="14"/>
        <v/>
      </c>
      <c r="S204" t="str">
        <f t="shared" si="15"/>
        <v/>
      </c>
    </row>
    <row r="205" spans="12:19" x14ac:dyDescent="0.3">
      <c r="L205" t="str">
        <f t="shared" si="8"/>
        <v/>
      </c>
      <c r="M205" t="str">
        <f t="shared" si="9"/>
        <v/>
      </c>
      <c r="N205" t="str">
        <f t="shared" si="10"/>
        <v/>
      </c>
      <c r="O205" t="str">
        <f t="shared" si="11"/>
        <v/>
      </c>
      <c r="P205" t="str">
        <f t="shared" si="12"/>
        <v/>
      </c>
      <c r="Q205" t="str">
        <f t="shared" si="13"/>
        <v/>
      </c>
      <c r="R205" t="str">
        <f t="shared" si="14"/>
        <v/>
      </c>
      <c r="S205" t="str">
        <f t="shared" si="15"/>
        <v/>
      </c>
    </row>
    <row r="206" spans="12:19" x14ac:dyDescent="0.3">
      <c r="L206" t="str">
        <f t="shared" si="8"/>
        <v/>
      </c>
      <c r="M206" t="str">
        <f t="shared" si="9"/>
        <v/>
      </c>
      <c r="N206" t="str">
        <f t="shared" si="10"/>
        <v/>
      </c>
      <c r="O206" t="str">
        <f t="shared" si="11"/>
        <v/>
      </c>
      <c r="P206" t="str">
        <f t="shared" si="12"/>
        <v/>
      </c>
      <c r="Q206" t="str">
        <f t="shared" si="13"/>
        <v/>
      </c>
      <c r="R206" t="str">
        <f t="shared" si="14"/>
        <v/>
      </c>
      <c r="S206" t="str">
        <f t="shared" si="15"/>
        <v/>
      </c>
    </row>
    <row r="207" spans="12:19" x14ac:dyDescent="0.3">
      <c r="L207" t="str">
        <f t="shared" si="8"/>
        <v/>
      </c>
      <c r="M207" t="str">
        <f t="shared" si="9"/>
        <v/>
      </c>
      <c r="N207" t="str">
        <f t="shared" si="10"/>
        <v/>
      </c>
      <c r="O207" t="str">
        <f t="shared" si="11"/>
        <v/>
      </c>
      <c r="P207" t="str">
        <f t="shared" si="12"/>
        <v/>
      </c>
      <c r="Q207" t="str">
        <f t="shared" si="13"/>
        <v/>
      </c>
      <c r="R207" t="str">
        <f t="shared" si="14"/>
        <v/>
      </c>
      <c r="S207" t="str">
        <f t="shared" si="15"/>
        <v/>
      </c>
    </row>
    <row r="208" spans="12:19" x14ac:dyDescent="0.3">
      <c r="L208" t="str">
        <f t="shared" si="8"/>
        <v/>
      </c>
      <c r="M208" t="str">
        <f t="shared" si="9"/>
        <v/>
      </c>
      <c r="N208" t="str">
        <f t="shared" si="10"/>
        <v/>
      </c>
      <c r="O208" t="str">
        <f t="shared" si="11"/>
        <v/>
      </c>
      <c r="P208" t="str">
        <f t="shared" si="12"/>
        <v/>
      </c>
      <c r="Q208" t="str">
        <f t="shared" si="13"/>
        <v/>
      </c>
      <c r="R208" t="str">
        <f t="shared" si="14"/>
        <v/>
      </c>
      <c r="S208" t="str">
        <f t="shared" si="15"/>
        <v/>
      </c>
    </row>
    <row r="209" spans="12:19" x14ac:dyDescent="0.3">
      <c r="L209" t="str">
        <f t="shared" si="8"/>
        <v/>
      </c>
      <c r="M209" t="str">
        <f t="shared" si="9"/>
        <v/>
      </c>
      <c r="N209" t="str">
        <f t="shared" si="10"/>
        <v/>
      </c>
      <c r="O209" t="str">
        <f t="shared" si="11"/>
        <v/>
      </c>
      <c r="P209" t="str">
        <f t="shared" si="12"/>
        <v/>
      </c>
      <c r="Q209" t="str">
        <f t="shared" si="13"/>
        <v/>
      </c>
      <c r="R209" t="str">
        <f t="shared" si="14"/>
        <v/>
      </c>
      <c r="S209" t="str">
        <f t="shared" si="15"/>
        <v/>
      </c>
    </row>
    <row r="210" spans="12:19" x14ac:dyDescent="0.3">
      <c r="L210" t="str">
        <f t="shared" si="8"/>
        <v/>
      </c>
      <c r="M210" t="str">
        <f t="shared" si="9"/>
        <v/>
      </c>
      <c r="N210" t="str">
        <f t="shared" si="10"/>
        <v/>
      </c>
      <c r="O210" t="str">
        <f t="shared" si="11"/>
        <v/>
      </c>
      <c r="P210" t="str">
        <f t="shared" si="12"/>
        <v/>
      </c>
      <c r="Q210" t="str">
        <f t="shared" si="13"/>
        <v/>
      </c>
      <c r="R210" t="str">
        <f t="shared" si="14"/>
        <v/>
      </c>
      <c r="S210" t="str">
        <f t="shared" si="15"/>
        <v/>
      </c>
    </row>
    <row r="211" spans="12:19" x14ac:dyDescent="0.3">
      <c r="L211" t="str">
        <f t="shared" si="8"/>
        <v/>
      </c>
      <c r="M211" t="str">
        <f t="shared" si="9"/>
        <v/>
      </c>
      <c r="N211" t="str">
        <f t="shared" si="10"/>
        <v/>
      </c>
      <c r="O211" t="str">
        <f t="shared" si="11"/>
        <v/>
      </c>
      <c r="P211" t="str">
        <f t="shared" si="12"/>
        <v/>
      </c>
      <c r="Q211" t="str">
        <f t="shared" si="13"/>
        <v/>
      </c>
      <c r="R211" t="str">
        <f t="shared" si="14"/>
        <v/>
      </c>
      <c r="S211" t="str">
        <f t="shared" si="15"/>
        <v/>
      </c>
    </row>
    <row r="212" spans="12:19" x14ac:dyDescent="0.3">
      <c r="L212" t="str">
        <f t="shared" si="8"/>
        <v/>
      </c>
      <c r="M212" t="str">
        <f t="shared" si="9"/>
        <v/>
      </c>
      <c r="N212" t="str">
        <f t="shared" si="10"/>
        <v/>
      </c>
      <c r="O212" t="str">
        <f t="shared" si="11"/>
        <v/>
      </c>
      <c r="P212" t="str">
        <f t="shared" si="12"/>
        <v/>
      </c>
      <c r="Q212" t="str">
        <f t="shared" si="13"/>
        <v/>
      </c>
      <c r="R212" t="str">
        <f t="shared" si="14"/>
        <v/>
      </c>
      <c r="S212" t="str">
        <f t="shared" si="15"/>
        <v/>
      </c>
    </row>
    <row r="213" spans="12:19" x14ac:dyDescent="0.3">
      <c r="L213" t="str">
        <f t="shared" si="8"/>
        <v/>
      </c>
      <c r="M213" t="str">
        <f t="shared" si="9"/>
        <v/>
      </c>
      <c r="N213" t="str">
        <f t="shared" si="10"/>
        <v/>
      </c>
      <c r="O213" t="str">
        <f t="shared" si="11"/>
        <v/>
      </c>
      <c r="P213" t="str">
        <f t="shared" si="12"/>
        <v/>
      </c>
      <c r="Q213" t="str">
        <f t="shared" si="13"/>
        <v/>
      </c>
      <c r="R213" t="str">
        <f t="shared" si="14"/>
        <v/>
      </c>
      <c r="S213" t="str">
        <f t="shared" si="15"/>
        <v/>
      </c>
    </row>
    <row r="214" spans="12:19" x14ac:dyDescent="0.3">
      <c r="L214" t="str">
        <f t="shared" si="8"/>
        <v/>
      </c>
      <c r="M214" t="str">
        <f t="shared" si="9"/>
        <v/>
      </c>
      <c r="N214" t="str">
        <f t="shared" si="10"/>
        <v/>
      </c>
      <c r="O214" t="str">
        <f t="shared" si="11"/>
        <v/>
      </c>
      <c r="P214" t="str">
        <f t="shared" si="12"/>
        <v/>
      </c>
      <c r="Q214" t="str">
        <f t="shared" si="13"/>
        <v/>
      </c>
      <c r="R214" t="str">
        <f t="shared" si="14"/>
        <v/>
      </c>
      <c r="S214" t="str">
        <f t="shared" si="15"/>
        <v/>
      </c>
    </row>
    <row r="215" spans="12:19" x14ac:dyDescent="0.3">
      <c r="L215" t="str">
        <f t="shared" si="8"/>
        <v/>
      </c>
      <c r="M215" t="str">
        <f t="shared" si="9"/>
        <v/>
      </c>
      <c r="N215" t="str">
        <f t="shared" si="10"/>
        <v/>
      </c>
      <c r="O215" t="str">
        <f t="shared" si="11"/>
        <v/>
      </c>
      <c r="P215" t="str">
        <f t="shared" si="12"/>
        <v/>
      </c>
      <c r="Q215" t="str">
        <f t="shared" si="13"/>
        <v/>
      </c>
      <c r="R215" t="str">
        <f t="shared" si="14"/>
        <v/>
      </c>
      <c r="S215" t="str">
        <f t="shared" si="15"/>
        <v/>
      </c>
    </row>
    <row r="216" spans="12:19" x14ac:dyDescent="0.3">
      <c r="L216" t="str">
        <f t="shared" si="8"/>
        <v/>
      </c>
      <c r="M216" t="str">
        <f t="shared" si="9"/>
        <v/>
      </c>
      <c r="N216" t="str">
        <f t="shared" si="10"/>
        <v/>
      </c>
      <c r="O216" t="str">
        <f t="shared" si="11"/>
        <v/>
      </c>
      <c r="P216" t="str">
        <f t="shared" si="12"/>
        <v/>
      </c>
      <c r="Q216" t="str">
        <f t="shared" si="13"/>
        <v/>
      </c>
      <c r="R216" t="str">
        <f t="shared" si="14"/>
        <v/>
      </c>
      <c r="S216" t="str">
        <f t="shared" si="15"/>
        <v/>
      </c>
    </row>
    <row r="217" spans="12:19" x14ac:dyDescent="0.3">
      <c r="L217" t="str">
        <f t="shared" si="8"/>
        <v/>
      </c>
      <c r="M217" t="str">
        <f t="shared" si="9"/>
        <v/>
      </c>
      <c r="N217" t="str">
        <f t="shared" si="10"/>
        <v/>
      </c>
      <c r="O217" t="str">
        <f t="shared" si="11"/>
        <v/>
      </c>
      <c r="P217" t="str">
        <f t="shared" si="12"/>
        <v/>
      </c>
      <c r="Q217" t="str">
        <f t="shared" si="13"/>
        <v/>
      </c>
      <c r="R217" t="str">
        <f t="shared" si="14"/>
        <v/>
      </c>
      <c r="S217" t="str">
        <f t="shared" si="15"/>
        <v/>
      </c>
    </row>
    <row r="218" spans="12:19" x14ac:dyDescent="0.3">
      <c r="L218" t="str">
        <f t="shared" si="8"/>
        <v/>
      </c>
      <c r="M218" t="str">
        <f t="shared" si="9"/>
        <v/>
      </c>
      <c r="N218" t="str">
        <f t="shared" si="10"/>
        <v/>
      </c>
      <c r="O218" t="str">
        <f t="shared" si="11"/>
        <v/>
      </c>
      <c r="P218" t="str">
        <f t="shared" si="12"/>
        <v/>
      </c>
      <c r="Q218" t="str">
        <f t="shared" si="13"/>
        <v/>
      </c>
      <c r="R218" t="str">
        <f t="shared" si="14"/>
        <v/>
      </c>
      <c r="S218" t="str">
        <f t="shared" si="15"/>
        <v/>
      </c>
    </row>
    <row r="219" spans="12:19" x14ac:dyDescent="0.3">
      <c r="L219" t="str">
        <f t="shared" si="8"/>
        <v/>
      </c>
      <c r="M219" t="str">
        <f t="shared" si="9"/>
        <v/>
      </c>
      <c r="N219" t="str">
        <f t="shared" si="10"/>
        <v/>
      </c>
      <c r="O219" t="str">
        <f t="shared" si="11"/>
        <v/>
      </c>
      <c r="P219" t="str">
        <f t="shared" si="12"/>
        <v/>
      </c>
      <c r="Q219" t="str">
        <f t="shared" si="13"/>
        <v/>
      </c>
      <c r="R219" t="str">
        <f t="shared" si="14"/>
        <v/>
      </c>
      <c r="S219" t="str">
        <f t="shared" si="15"/>
        <v/>
      </c>
    </row>
    <row r="220" spans="12:19" x14ac:dyDescent="0.3">
      <c r="L220" t="str">
        <f t="shared" si="8"/>
        <v/>
      </c>
      <c r="M220" t="str">
        <f t="shared" si="9"/>
        <v/>
      </c>
      <c r="N220" t="str">
        <f t="shared" si="10"/>
        <v/>
      </c>
      <c r="O220" t="str">
        <f t="shared" si="11"/>
        <v/>
      </c>
      <c r="P220" t="str">
        <f t="shared" si="12"/>
        <v/>
      </c>
      <c r="Q220" t="str">
        <f t="shared" si="13"/>
        <v/>
      </c>
      <c r="R220" t="str">
        <f t="shared" si="14"/>
        <v/>
      </c>
      <c r="S220" t="str">
        <f t="shared" si="15"/>
        <v/>
      </c>
    </row>
    <row r="221" spans="12:19" x14ac:dyDescent="0.3">
      <c r="L221" t="str">
        <f t="shared" si="8"/>
        <v/>
      </c>
      <c r="M221" t="str">
        <f t="shared" si="9"/>
        <v/>
      </c>
      <c r="N221" t="str">
        <f t="shared" si="10"/>
        <v/>
      </c>
      <c r="O221" t="str">
        <f t="shared" si="11"/>
        <v/>
      </c>
      <c r="P221" t="str">
        <f t="shared" si="12"/>
        <v/>
      </c>
      <c r="Q221" t="str">
        <f t="shared" si="13"/>
        <v/>
      </c>
      <c r="R221" t="str">
        <f t="shared" si="14"/>
        <v/>
      </c>
      <c r="S221" t="str">
        <f t="shared" si="15"/>
        <v/>
      </c>
    </row>
    <row r="222" spans="12:19" x14ac:dyDescent="0.3">
      <c r="L222" t="str">
        <f t="shared" si="8"/>
        <v/>
      </c>
      <c r="M222" t="str">
        <f t="shared" si="9"/>
        <v/>
      </c>
      <c r="N222" t="str">
        <f t="shared" si="10"/>
        <v/>
      </c>
      <c r="O222" t="str">
        <f t="shared" si="11"/>
        <v/>
      </c>
      <c r="P222" t="str">
        <f t="shared" si="12"/>
        <v/>
      </c>
      <c r="Q222" t="str">
        <f t="shared" si="13"/>
        <v/>
      </c>
      <c r="R222" t="str">
        <f t="shared" si="14"/>
        <v/>
      </c>
      <c r="S222" t="str">
        <f t="shared" si="15"/>
        <v/>
      </c>
    </row>
    <row r="223" spans="12:19" x14ac:dyDescent="0.3">
      <c r="L223" t="str">
        <f t="shared" si="8"/>
        <v/>
      </c>
      <c r="M223" t="str">
        <f t="shared" si="9"/>
        <v/>
      </c>
      <c r="N223" t="str">
        <f t="shared" si="10"/>
        <v/>
      </c>
      <c r="O223" t="str">
        <f t="shared" si="11"/>
        <v/>
      </c>
      <c r="P223" t="str">
        <f t="shared" si="12"/>
        <v/>
      </c>
      <c r="Q223" t="str">
        <f t="shared" si="13"/>
        <v/>
      </c>
      <c r="R223" t="str">
        <f t="shared" si="14"/>
        <v/>
      </c>
      <c r="S223" t="str">
        <f t="shared" si="15"/>
        <v/>
      </c>
    </row>
    <row r="224" spans="12:19" x14ac:dyDescent="0.3">
      <c r="L224" t="str">
        <f t="shared" si="8"/>
        <v/>
      </c>
      <c r="M224" t="str">
        <f t="shared" si="9"/>
        <v/>
      </c>
      <c r="N224" t="str">
        <f t="shared" si="10"/>
        <v/>
      </c>
      <c r="O224" t="str">
        <f t="shared" si="11"/>
        <v/>
      </c>
      <c r="P224" t="str">
        <f t="shared" si="12"/>
        <v/>
      </c>
      <c r="Q224" t="str">
        <f t="shared" si="13"/>
        <v/>
      </c>
      <c r="R224" t="str">
        <f t="shared" si="14"/>
        <v/>
      </c>
      <c r="S224" t="str">
        <f t="shared" si="15"/>
        <v/>
      </c>
    </row>
    <row r="225" spans="12:19" x14ac:dyDescent="0.3">
      <c r="L225" t="str">
        <f t="shared" si="8"/>
        <v/>
      </c>
      <c r="M225" t="str">
        <f t="shared" si="9"/>
        <v/>
      </c>
      <c r="N225" t="str">
        <f t="shared" si="10"/>
        <v/>
      </c>
      <c r="O225" t="str">
        <f t="shared" si="11"/>
        <v/>
      </c>
      <c r="P225" t="str">
        <f t="shared" si="12"/>
        <v/>
      </c>
      <c r="Q225" t="str">
        <f t="shared" si="13"/>
        <v/>
      </c>
      <c r="R225" t="str">
        <f t="shared" si="14"/>
        <v/>
      </c>
      <c r="S225" t="str">
        <f t="shared" si="15"/>
        <v/>
      </c>
    </row>
    <row r="226" spans="12:19" x14ac:dyDescent="0.3">
      <c r="L226" t="str">
        <f t="shared" si="8"/>
        <v/>
      </c>
      <c r="M226" t="str">
        <f t="shared" si="9"/>
        <v/>
      </c>
      <c r="N226" t="str">
        <f t="shared" si="10"/>
        <v/>
      </c>
      <c r="O226" t="str">
        <f t="shared" si="11"/>
        <v/>
      </c>
      <c r="P226" t="str">
        <f t="shared" si="12"/>
        <v/>
      </c>
      <c r="Q226" t="str">
        <f t="shared" si="13"/>
        <v/>
      </c>
      <c r="R226" t="str">
        <f t="shared" si="14"/>
        <v/>
      </c>
      <c r="S226" t="str">
        <f t="shared" si="15"/>
        <v/>
      </c>
    </row>
    <row r="227" spans="12:19" x14ac:dyDescent="0.3">
      <c r="L227" t="str">
        <f t="shared" si="8"/>
        <v/>
      </c>
      <c r="M227" t="str">
        <f t="shared" si="9"/>
        <v/>
      </c>
      <c r="N227" t="str">
        <f t="shared" si="10"/>
        <v/>
      </c>
      <c r="O227" t="str">
        <f t="shared" si="11"/>
        <v/>
      </c>
      <c r="P227" t="str">
        <f t="shared" si="12"/>
        <v/>
      </c>
      <c r="Q227" t="str">
        <f t="shared" si="13"/>
        <v/>
      </c>
      <c r="R227" t="str">
        <f t="shared" si="14"/>
        <v/>
      </c>
      <c r="S227" t="str">
        <f t="shared" si="15"/>
        <v/>
      </c>
    </row>
    <row r="228" spans="12:19" x14ac:dyDescent="0.3">
      <c r="L228" t="str">
        <f t="shared" si="8"/>
        <v/>
      </c>
      <c r="M228" t="str">
        <f t="shared" si="9"/>
        <v/>
      </c>
      <c r="N228" t="str">
        <f t="shared" si="10"/>
        <v/>
      </c>
      <c r="O228" t="str">
        <f t="shared" si="11"/>
        <v/>
      </c>
      <c r="P228" t="str">
        <f t="shared" si="12"/>
        <v/>
      </c>
      <c r="Q228" t="str">
        <f t="shared" si="13"/>
        <v/>
      </c>
      <c r="R228" t="str">
        <f t="shared" si="14"/>
        <v/>
      </c>
      <c r="S228" t="str">
        <f t="shared" si="15"/>
        <v/>
      </c>
    </row>
    <row r="229" spans="12:19" x14ac:dyDescent="0.3">
      <c r="L229" t="str">
        <f t="shared" si="8"/>
        <v/>
      </c>
      <c r="M229" t="str">
        <f t="shared" si="9"/>
        <v/>
      </c>
      <c r="N229" t="str">
        <f t="shared" si="10"/>
        <v/>
      </c>
      <c r="O229" t="str">
        <f t="shared" si="11"/>
        <v/>
      </c>
      <c r="P229" t="str">
        <f t="shared" si="12"/>
        <v/>
      </c>
      <c r="Q229" t="str">
        <f t="shared" si="13"/>
        <v/>
      </c>
      <c r="R229" t="str">
        <f t="shared" si="14"/>
        <v/>
      </c>
      <c r="S229" t="str">
        <f t="shared" si="15"/>
        <v/>
      </c>
    </row>
    <row r="230" spans="12:19" x14ac:dyDescent="0.3">
      <c r="L230" t="str">
        <f t="shared" si="8"/>
        <v/>
      </c>
      <c r="M230" t="str">
        <f t="shared" si="9"/>
        <v/>
      </c>
      <c r="N230" t="str">
        <f t="shared" si="10"/>
        <v/>
      </c>
      <c r="O230" t="str">
        <f t="shared" si="11"/>
        <v/>
      </c>
      <c r="P230" t="str">
        <f t="shared" si="12"/>
        <v/>
      </c>
      <c r="Q230" t="str">
        <f t="shared" si="13"/>
        <v/>
      </c>
      <c r="R230" t="str">
        <f t="shared" si="14"/>
        <v/>
      </c>
      <c r="S230" t="str">
        <f t="shared" si="15"/>
        <v/>
      </c>
    </row>
    <row r="231" spans="12:19" x14ac:dyDescent="0.3">
      <c r="L231" t="str">
        <f t="shared" si="8"/>
        <v/>
      </c>
      <c r="M231" t="str">
        <f t="shared" si="9"/>
        <v/>
      </c>
      <c r="N231" t="str">
        <f t="shared" si="10"/>
        <v/>
      </c>
      <c r="O231" t="str">
        <f t="shared" si="11"/>
        <v/>
      </c>
      <c r="P231" t="str">
        <f t="shared" si="12"/>
        <v/>
      </c>
      <c r="Q231" t="str">
        <f t="shared" si="13"/>
        <v/>
      </c>
      <c r="R231" t="str">
        <f t="shared" si="14"/>
        <v/>
      </c>
      <c r="S231" t="str">
        <f t="shared" si="15"/>
        <v/>
      </c>
    </row>
    <row r="232" spans="12:19" x14ac:dyDescent="0.3">
      <c r="L232" t="str">
        <f t="shared" si="8"/>
        <v/>
      </c>
      <c r="M232" t="str">
        <f t="shared" si="9"/>
        <v/>
      </c>
      <c r="N232" t="str">
        <f t="shared" si="10"/>
        <v/>
      </c>
      <c r="O232" t="str">
        <f t="shared" si="11"/>
        <v/>
      </c>
      <c r="P232" t="str">
        <f t="shared" si="12"/>
        <v/>
      </c>
      <c r="Q232" t="str">
        <f t="shared" si="13"/>
        <v/>
      </c>
      <c r="R232" t="str">
        <f t="shared" si="14"/>
        <v/>
      </c>
      <c r="S232" t="str">
        <f t="shared" si="15"/>
        <v/>
      </c>
    </row>
    <row r="233" spans="12:19" x14ac:dyDescent="0.3">
      <c r="L233" t="str">
        <f t="shared" si="8"/>
        <v/>
      </c>
      <c r="M233" t="str">
        <f t="shared" si="9"/>
        <v/>
      </c>
      <c r="N233" t="str">
        <f t="shared" si="10"/>
        <v/>
      </c>
      <c r="O233" t="str">
        <f t="shared" si="11"/>
        <v/>
      </c>
      <c r="P233" t="str">
        <f t="shared" si="12"/>
        <v/>
      </c>
      <c r="Q233" t="str">
        <f t="shared" si="13"/>
        <v/>
      </c>
      <c r="R233" t="str">
        <f t="shared" si="14"/>
        <v/>
      </c>
      <c r="S233" t="str">
        <f t="shared" si="15"/>
        <v/>
      </c>
    </row>
    <row r="234" spans="12:19" x14ac:dyDescent="0.3">
      <c r="L234" t="str">
        <f t="shared" si="8"/>
        <v/>
      </c>
      <c r="M234" t="str">
        <f t="shared" si="9"/>
        <v/>
      </c>
      <c r="N234" t="str">
        <f t="shared" si="10"/>
        <v/>
      </c>
      <c r="O234" t="str">
        <f t="shared" si="11"/>
        <v/>
      </c>
      <c r="P234" t="str">
        <f t="shared" si="12"/>
        <v/>
      </c>
      <c r="Q234" t="str">
        <f t="shared" si="13"/>
        <v/>
      </c>
      <c r="R234" t="str">
        <f t="shared" si="14"/>
        <v/>
      </c>
      <c r="S234" t="str">
        <f t="shared" si="15"/>
        <v/>
      </c>
    </row>
    <row r="235" spans="12:19" x14ac:dyDescent="0.3">
      <c r="L235" t="str">
        <f t="shared" si="8"/>
        <v/>
      </c>
      <c r="M235" t="str">
        <f t="shared" si="9"/>
        <v/>
      </c>
      <c r="N235" t="str">
        <f t="shared" si="10"/>
        <v/>
      </c>
      <c r="O235" t="str">
        <f t="shared" si="11"/>
        <v/>
      </c>
      <c r="P235" t="str">
        <f t="shared" si="12"/>
        <v/>
      </c>
      <c r="Q235" t="str">
        <f t="shared" si="13"/>
        <v/>
      </c>
      <c r="R235" t="str">
        <f t="shared" si="14"/>
        <v/>
      </c>
      <c r="S235" t="str">
        <f t="shared" si="15"/>
        <v/>
      </c>
    </row>
    <row r="236" spans="12:19" x14ac:dyDescent="0.3">
      <c r="L236" t="str">
        <f t="shared" si="8"/>
        <v/>
      </c>
      <c r="M236" t="str">
        <f t="shared" si="9"/>
        <v/>
      </c>
      <c r="N236" t="str">
        <f t="shared" si="10"/>
        <v/>
      </c>
      <c r="O236" t="str">
        <f t="shared" si="11"/>
        <v/>
      </c>
      <c r="P236" t="str">
        <f t="shared" si="12"/>
        <v/>
      </c>
      <c r="Q236" t="str">
        <f t="shared" si="13"/>
        <v/>
      </c>
      <c r="R236" t="str">
        <f t="shared" si="14"/>
        <v/>
      </c>
      <c r="S236" t="str">
        <f t="shared" si="15"/>
        <v/>
      </c>
    </row>
    <row r="237" spans="12:19" x14ac:dyDescent="0.3">
      <c r="L237" t="str">
        <f t="shared" si="8"/>
        <v/>
      </c>
      <c r="M237" t="str">
        <f t="shared" si="9"/>
        <v/>
      </c>
      <c r="N237" t="str">
        <f t="shared" si="10"/>
        <v/>
      </c>
      <c r="O237" t="str">
        <f t="shared" si="11"/>
        <v/>
      </c>
      <c r="P237" t="str">
        <f t="shared" si="12"/>
        <v/>
      </c>
      <c r="Q237" t="str">
        <f t="shared" si="13"/>
        <v/>
      </c>
      <c r="R237" t="str">
        <f t="shared" si="14"/>
        <v/>
      </c>
      <c r="S237" t="str">
        <f t="shared" si="15"/>
        <v/>
      </c>
    </row>
    <row r="238" spans="12:19" x14ac:dyDescent="0.3">
      <c r="L238" t="str">
        <f t="shared" si="8"/>
        <v/>
      </c>
      <c r="M238" t="str">
        <f t="shared" si="9"/>
        <v/>
      </c>
      <c r="N238" t="str">
        <f t="shared" si="10"/>
        <v/>
      </c>
      <c r="O238" t="str">
        <f t="shared" si="11"/>
        <v/>
      </c>
      <c r="P238" t="str">
        <f t="shared" si="12"/>
        <v/>
      </c>
      <c r="Q238" t="str">
        <f t="shared" si="13"/>
        <v/>
      </c>
      <c r="R238" t="str">
        <f t="shared" si="14"/>
        <v/>
      </c>
      <c r="S238" t="str">
        <f t="shared" si="15"/>
        <v/>
      </c>
    </row>
    <row r="239" spans="12:19" x14ac:dyDescent="0.3">
      <c r="L239" t="str">
        <f t="shared" si="8"/>
        <v/>
      </c>
      <c r="M239" t="str">
        <f t="shared" si="9"/>
        <v/>
      </c>
      <c r="N239" t="str">
        <f t="shared" si="10"/>
        <v/>
      </c>
      <c r="O239" t="str">
        <f t="shared" si="11"/>
        <v/>
      </c>
      <c r="P239" t="str">
        <f t="shared" si="12"/>
        <v/>
      </c>
      <c r="Q239" t="str">
        <f t="shared" si="13"/>
        <v/>
      </c>
      <c r="R239" t="str">
        <f t="shared" si="14"/>
        <v/>
      </c>
      <c r="S239" t="str">
        <f t="shared" si="15"/>
        <v/>
      </c>
    </row>
    <row r="240" spans="12:19" x14ac:dyDescent="0.3">
      <c r="L240" t="str">
        <f t="shared" si="8"/>
        <v/>
      </c>
      <c r="M240" t="str">
        <f t="shared" si="9"/>
        <v/>
      </c>
      <c r="N240" t="str">
        <f t="shared" si="10"/>
        <v/>
      </c>
      <c r="O240" t="str">
        <f t="shared" si="11"/>
        <v/>
      </c>
      <c r="P240" t="str">
        <f t="shared" si="12"/>
        <v/>
      </c>
      <c r="Q240" t="str">
        <f t="shared" si="13"/>
        <v/>
      </c>
      <c r="R240" t="str">
        <f t="shared" si="14"/>
        <v/>
      </c>
      <c r="S240" t="str">
        <f t="shared" si="15"/>
        <v/>
      </c>
    </row>
    <row r="241" spans="12:19" x14ac:dyDescent="0.3">
      <c r="L241" t="str">
        <f t="shared" si="8"/>
        <v/>
      </c>
      <c r="M241" t="str">
        <f t="shared" si="9"/>
        <v/>
      </c>
      <c r="N241" t="str">
        <f t="shared" si="10"/>
        <v/>
      </c>
      <c r="O241" t="str">
        <f t="shared" si="11"/>
        <v/>
      </c>
      <c r="P241" t="str">
        <f t="shared" si="12"/>
        <v/>
      </c>
      <c r="Q241" t="str">
        <f t="shared" si="13"/>
        <v/>
      </c>
      <c r="R241" t="str">
        <f t="shared" si="14"/>
        <v/>
      </c>
      <c r="S241" t="str">
        <f t="shared" si="15"/>
        <v/>
      </c>
    </row>
    <row r="242" spans="12:19" x14ac:dyDescent="0.3">
      <c r="L242" t="str">
        <f t="shared" si="8"/>
        <v/>
      </c>
      <c r="M242" t="str">
        <f t="shared" si="9"/>
        <v/>
      </c>
      <c r="N242" t="str">
        <f t="shared" si="10"/>
        <v/>
      </c>
      <c r="O242" t="str">
        <f t="shared" si="11"/>
        <v/>
      </c>
      <c r="P242" t="str">
        <f t="shared" si="12"/>
        <v/>
      </c>
      <c r="Q242" t="str">
        <f t="shared" si="13"/>
        <v/>
      </c>
      <c r="R242" t="str">
        <f t="shared" si="14"/>
        <v/>
      </c>
      <c r="S242" t="str">
        <f t="shared" si="15"/>
        <v/>
      </c>
    </row>
    <row r="243" spans="12:19" x14ac:dyDescent="0.3">
      <c r="L243" t="str">
        <f t="shared" si="8"/>
        <v/>
      </c>
      <c r="M243" t="str">
        <f t="shared" si="9"/>
        <v/>
      </c>
      <c r="N243" t="str">
        <f t="shared" si="10"/>
        <v/>
      </c>
      <c r="O243" t="str">
        <f t="shared" si="11"/>
        <v/>
      </c>
      <c r="P243" t="str">
        <f t="shared" si="12"/>
        <v/>
      </c>
      <c r="Q243" t="str">
        <f t="shared" si="13"/>
        <v/>
      </c>
      <c r="R243" t="str">
        <f t="shared" si="14"/>
        <v/>
      </c>
      <c r="S243" t="str">
        <f t="shared" si="15"/>
        <v/>
      </c>
    </row>
    <row r="244" spans="12:19" x14ac:dyDescent="0.3">
      <c r="L244" t="str">
        <f t="shared" si="8"/>
        <v/>
      </c>
      <c r="M244" t="str">
        <f t="shared" si="9"/>
        <v/>
      </c>
      <c r="N244" t="str">
        <f t="shared" si="10"/>
        <v/>
      </c>
      <c r="O244" t="str">
        <f t="shared" si="11"/>
        <v/>
      </c>
      <c r="P244" t="str">
        <f t="shared" si="12"/>
        <v/>
      </c>
      <c r="Q244" t="str">
        <f t="shared" si="13"/>
        <v/>
      </c>
      <c r="R244" t="str">
        <f t="shared" si="14"/>
        <v/>
      </c>
      <c r="S244" t="str">
        <f t="shared" si="15"/>
        <v/>
      </c>
    </row>
    <row r="245" spans="12:19" x14ac:dyDescent="0.3">
      <c r="L245" t="str">
        <f t="shared" si="8"/>
        <v/>
      </c>
      <c r="M245" t="str">
        <f t="shared" si="9"/>
        <v/>
      </c>
      <c r="N245" t="str">
        <f t="shared" si="10"/>
        <v/>
      </c>
      <c r="O245" t="str">
        <f t="shared" si="11"/>
        <v/>
      </c>
      <c r="P245" t="str">
        <f t="shared" si="12"/>
        <v/>
      </c>
      <c r="Q245" t="str">
        <f t="shared" si="13"/>
        <v/>
      </c>
      <c r="R245" t="str">
        <f t="shared" si="14"/>
        <v/>
      </c>
      <c r="S245" t="str">
        <f t="shared" si="15"/>
        <v/>
      </c>
    </row>
    <row r="246" spans="12:19" x14ac:dyDescent="0.3">
      <c r="L246" t="str">
        <f t="shared" si="8"/>
        <v/>
      </c>
      <c r="M246" t="str">
        <f t="shared" si="9"/>
        <v/>
      </c>
      <c r="N246" t="str">
        <f t="shared" si="10"/>
        <v/>
      </c>
      <c r="O246" t="str">
        <f t="shared" si="11"/>
        <v/>
      </c>
      <c r="P246" t="str">
        <f t="shared" si="12"/>
        <v/>
      </c>
      <c r="Q246" t="str">
        <f t="shared" si="13"/>
        <v/>
      </c>
      <c r="R246" t="str">
        <f t="shared" si="14"/>
        <v/>
      </c>
      <c r="S246" t="str">
        <f t="shared" si="15"/>
        <v/>
      </c>
    </row>
    <row r="247" spans="12:19" x14ac:dyDescent="0.3">
      <c r="L247" t="str">
        <f t="shared" si="8"/>
        <v/>
      </c>
      <c r="M247" t="str">
        <f t="shared" si="9"/>
        <v/>
      </c>
      <c r="N247" t="str">
        <f t="shared" si="10"/>
        <v/>
      </c>
      <c r="O247" t="str">
        <f t="shared" si="11"/>
        <v/>
      </c>
      <c r="P247" t="str">
        <f t="shared" si="12"/>
        <v/>
      </c>
      <c r="Q247" t="str">
        <f t="shared" si="13"/>
        <v/>
      </c>
      <c r="R247" t="str">
        <f t="shared" si="14"/>
        <v/>
      </c>
      <c r="S247" t="str">
        <f t="shared" si="15"/>
        <v/>
      </c>
    </row>
    <row r="248" spans="12:19" x14ac:dyDescent="0.3">
      <c r="L248" t="str">
        <f t="shared" si="8"/>
        <v/>
      </c>
      <c r="M248" t="str">
        <f t="shared" si="9"/>
        <v/>
      </c>
      <c r="N248" t="str">
        <f t="shared" si="10"/>
        <v/>
      </c>
      <c r="O248" t="str">
        <f t="shared" si="11"/>
        <v/>
      </c>
      <c r="P248" t="str">
        <f t="shared" si="12"/>
        <v/>
      </c>
      <c r="Q248" t="str">
        <f t="shared" si="13"/>
        <v/>
      </c>
      <c r="R248" t="str">
        <f t="shared" si="14"/>
        <v/>
      </c>
      <c r="S248" t="str">
        <f t="shared" si="15"/>
        <v/>
      </c>
    </row>
    <row r="249" spans="12:19" x14ac:dyDescent="0.3">
      <c r="L249" t="str">
        <f t="shared" si="8"/>
        <v/>
      </c>
      <c r="M249" t="str">
        <f t="shared" si="9"/>
        <v/>
      </c>
      <c r="N249" t="str">
        <f t="shared" si="10"/>
        <v/>
      </c>
      <c r="O249" t="str">
        <f t="shared" si="11"/>
        <v/>
      </c>
      <c r="P249" t="str">
        <f t="shared" si="12"/>
        <v/>
      </c>
      <c r="Q249" t="str">
        <f t="shared" si="13"/>
        <v/>
      </c>
      <c r="R249" t="str">
        <f t="shared" si="14"/>
        <v/>
      </c>
      <c r="S249" t="str">
        <f t="shared" si="15"/>
        <v/>
      </c>
    </row>
    <row r="250" spans="12:19" x14ac:dyDescent="0.3">
      <c r="L250" t="str">
        <f t="shared" si="8"/>
        <v/>
      </c>
      <c r="M250" t="str">
        <f t="shared" si="9"/>
        <v/>
      </c>
      <c r="N250" t="str">
        <f t="shared" si="10"/>
        <v/>
      </c>
      <c r="O250" t="str">
        <f t="shared" si="11"/>
        <v/>
      </c>
      <c r="P250" t="str">
        <f t="shared" si="12"/>
        <v/>
      </c>
      <c r="Q250" t="str">
        <f t="shared" si="13"/>
        <v/>
      </c>
      <c r="R250" t="str">
        <f t="shared" si="14"/>
        <v/>
      </c>
      <c r="S250" t="str">
        <f t="shared" si="15"/>
        <v/>
      </c>
    </row>
    <row r="251" spans="12:19" x14ac:dyDescent="0.3">
      <c r="L251" t="str">
        <f t="shared" si="8"/>
        <v/>
      </c>
      <c r="M251" t="str">
        <f t="shared" si="9"/>
        <v/>
      </c>
      <c r="N251" t="str">
        <f t="shared" si="10"/>
        <v/>
      </c>
      <c r="O251" t="str">
        <f t="shared" si="11"/>
        <v/>
      </c>
      <c r="P251" t="str">
        <f t="shared" si="12"/>
        <v/>
      </c>
      <c r="Q251" t="str">
        <f t="shared" si="13"/>
        <v/>
      </c>
      <c r="R251" t="str">
        <f t="shared" si="14"/>
        <v/>
      </c>
      <c r="S251" t="str">
        <f t="shared" si="15"/>
        <v/>
      </c>
    </row>
    <row r="252" spans="12:19" x14ac:dyDescent="0.3">
      <c r="L252" t="str">
        <f t="shared" si="8"/>
        <v/>
      </c>
      <c r="M252" t="str">
        <f t="shared" si="9"/>
        <v/>
      </c>
      <c r="N252" t="str">
        <f t="shared" si="10"/>
        <v/>
      </c>
      <c r="O252" t="str">
        <f t="shared" si="11"/>
        <v/>
      </c>
      <c r="P252" t="str">
        <f t="shared" si="12"/>
        <v/>
      </c>
      <c r="Q252" t="str">
        <f t="shared" si="13"/>
        <v/>
      </c>
      <c r="R252" t="str">
        <f t="shared" si="14"/>
        <v/>
      </c>
      <c r="S252" t="str">
        <f t="shared" si="15"/>
        <v/>
      </c>
    </row>
    <row r="253" spans="12:19" x14ac:dyDescent="0.3">
      <c r="L253" t="str">
        <f t="shared" si="8"/>
        <v/>
      </c>
      <c r="M253" t="str">
        <f t="shared" si="9"/>
        <v/>
      </c>
      <c r="N253" t="str">
        <f t="shared" si="10"/>
        <v/>
      </c>
      <c r="O253" t="str">
        <f t="shared" si="11"/>
        <v/>
      </c>
      <c r="P253" t="str">
        <f t="shared" si="12"/>
        <v/>
      </c>
      <c r="Q253" t="str">
        <f t="shared" si="13"/>
        <v/>
      </c>
      <c r="R253" t="str">
        <f t="shared" si="14"/>
        <v/>
      </c>
      <c r="S253" t="str">
        <f t="shared" si="15"/>
        <v/>
      </c>
    </row>
    <row r="254" spans="12:19" x14ac:dyDescent="0.3">
      <c r="L254" t="str">
        <f t="shared" si="8"/>
        <v/>
      </c>
      <c r="M254" t="str">
        <f t="shared" si="9"/>
        <v/>
      </c>
      <c r="N254" t="str">
        <f t="shared" si="10"/>
        <v/>
      </c>
      <c r="O254" t="str">
        <f t="shared" si="11"/>
        <v/>
      </c>
      <c r="P254" t="str">
        <f t="shared" si="12"/>
        <v/>
      </c>
      <c r="Q254" t="str">
        <f t="shared" si="13"/>
        <v/>
      </c>
      <c r="R254" t="str">
        <f t="shared" si="14"/>
        <v/>
      </c>
      <c r="S254" t="str">
        <f t="shared" si="15"/>
        <v/>
      </c>
    </row>
    <row r="255" spans="12:19" x14ac:dyDescent="0.3">
      <c r="L255" t="str">
        <f t="shared" si="8"/>
        <v/>
      </c>
      <c r="M255" t="str">
        <f t="shared" si="9"/>
        <v/>
      </c>
      <c r="N255" t="str">
        <f t="shared" si="10"/>
        <v/>
      </c>
      <c r="O255" t="str">
        <f t="shared" si="11"/>
        <v/>
      </c>
      <c r="P255" t="str">
        <f t="shared" si="12"/>
        <v/>
      </c>
      <c r="Q255" t="str">
        <f t="shared" si="13"/>
        <v/>
      </c>
      <c r="R255" t="str">
        <f t="shared" si="14"/>
        <v/>
      </c>
      <c r="S255" t="str">
        <f t="shared" si="15"/>
        <v/>
      </c>
    </row>
    <row r="256" spans="12:19" x14ac:dyDescent="0.3">
      <c r="L256" t="str">
        <f t="shared" si="8"/>
        <v/>
      </c>
      <c r="M256" t="str">
        <f t="shared" si="9"/>
        <v/>
      </c>
      <c r="N256" t="str">
        <f t="shared" si="10"/>
        <v/>
      </c>
      <c r="O256" t="str">
        <f t="shared" si="11"/>
        <v/>
      </c>
      <c r="P256" t="str">
        <f t="shared" si="12"/>
        <v/>
      </c>
      <c r="Q256" t="str">
        <f t="shared" si="13"/>
        <v/>
      </c>
      <c r="R256" t="str">
        <f t="shared" si="14"/>
        <v/>
      </c>
      <c r="S256" t="str">
        <f t="shared" si="15"/>
        <v/>
      </c>
    </row>
    <row r="257" spans="12:19" x14ac:dyDescent="0.3">
      <c r="L257" t="str">
        <f t="shared" si="8"/>
        <v/>
      </c>
      <c r="M257" t="str">
        <f t="shared" si="9"/>
        <v/>
      </c>
      <c r="N257" t="str">
        <f t="shared" si="10"/>
        <v/>
      </c>
      <c r="O257" t="str">
        <f t="shared" si="11"/>
        <v/>
      </c>
      <c r="P257" t="str">
        <f t="shared" si="12"/>
        <v/>
      </c>
      <c r="Q257" t="str">
        <f t="shared" si="13"/>
        <v/>
      </c>
      <c r="R257" t="str">
        <f t="shared" si="14"/>
        <v/>
      </c>
      <c r="S257" t="str">
        <f t="shared" si="15"/>
        <v/>
      </c>
    </row>
    <row r="258" spans="12:19" x14ac:dyDescent="0.3">
      <c r="L258" t="str">
        <f t="shared" si="8"/>
        <v/>
      </c>
      <c r="M258" t="str">
        <f t="shared" si="9"/>
        <v/>
      </c>
      <c r="N258" t="str">
        <f t="shared" si="10"/>
        <v/>
      </c>
      <c r="O258" t="str">
        <f t="shared" si="11"/>
        <v/>
      </c>
      <c r="P258" t="str">
        <f t="shared" si="12"/>
        <v/>
      </c>
      <c r="Q258" t="str">
        <f t="shared" si="13"/>
        <v/>
      </c>
      <c r="R258" t="str">
        <f t="shared" si="14"/>
        <v/>
      </c>
      <c r="S258" t="str">
        <f t="shared" si="15"/>
        <v/>
      </c>
    </row>
    <row r="259" spans="12:19" x14ac:dyDescent="0.3">
      <c r="L259" t="str">
        <f t="shared" si="8"/>
        <v/>
      </c>
      <c r="M259" t="str">
        <f t="shared" si="9"/>
        <v/>
      </c>
      <c r="N259" t="str">
        <f t="shared" si="10"/>
        <v/>
      </c>
      <c r="O259" t="str">
        <f t="shared" si="11"/>
        <v/>
      </c>
      <c r="P259" t="str">
        <f t="shared" si="12"/>
        <v/>
      </c>
      <c r="Q259" t="str">
        <f t="shared" si="13"/>
        <v/>
      </c>
      <c r="R259" t="str">
        <f t="shared" si="14"/>
        <v/>
      </c>
      <c r="S259" t="str">
        <f t="shared" si="15"/>
        <v/>
      </c>
    </row>
    <row r="260" spans="12:19" x14ac:dyDescent="0.3">
      <c r="L260" t="str">
        <f t="shared" si="8"/>
        <v/>
      </c>
      <c r="M260" t="str">
        <f t="shared" si="9"/>
        <v/>
      </c>
      <c r="N260" t="str">
        <f t="shared" si="10"/>
        <v/>
      </c>
      <c r="O260" t="str">
        <f t="shared" si="11"/>
        <v/>
      </c>
      <c r="P260" t="str">
        <f t="shared" si="12"/>
        <v/>
      </c>
      <c r="Q260" t="str">
        <f t="shared" si="13"/>
        <v/>
      </c>
      <c r="R260" t="str">
        <f t="shared" si="14"/>
        <v/>
      </c>
      <c r="S260" t="str">
        <f t="shared" si="15"/>
        <v/>
      </c>
    </row>
    <row r="261" spans="12:19" x14ac:dyDescent="0.3">
      <c r="L261" t="str">
        <f t="shared" si="8"/>
        <v/>
      </c>
      <c r="M261" t="str">
        <f t="shared" si="9"/>
        <v/>
      </c>
      <c r="N261" t="str">
        <f t="shared" si="10"/>
        <v/>
      </c>
      <c r="O261" t="str">
        <f t="shared" si="11"/>
        <v/>
      </c>
      <c r="P261" t="str">
        <f t="shared" si="12"/>
        <v/>
      </c>
      <c r="Q261" t="str">
        <f t="shared" si="13"/>
        <v/>
      </c>
      <c r="R261" t="str">
        <f t="shared" si="14"/>
        <v/>
      </c>
      <c r="S261" t="str">
        <f t="shared" si="15"/>
        <v/>
      </c>
    </row>
    <row r="262" spans="12:19" x14ac:dyDescent="0.3">
      <c r="L262" t="str">
        <f t="shared" si="8"/>
        <v/>
      </c>
      <c r="M262" t="str">
        <f t="shared" si="9"/>
        <v/>
      </c>
      <c r="N262" t="str">
        <f t="shared" si="10"/>
        <v/>
      </c>
      <c r="O262" t="str">
        <f t="shared" si="11"/>
        <v/>
      </c>
      <c r="P262" t="str">
        <f t="shared" si="12"/>
        <v/>
      </c>
      <c r="Q262" t="str">
        <f t="shared" si="13"/>
        <v/>
      </c>
      <c r="R262" t="str">
        <f t="shared" si="14"/>
        <v/>
      </c>
      <c r="S262" t="str">
        <f t="shared" si="15"/>
        <v/>
      </c>
    </row>
    <row r="263" spans="12:19" x14ac:dyDescent="0.3">
      <c r="L263" t="str">
        <f t="shared" si="8"/>
        <v/>
      </c>
      <c r="M263" t="str">
        <f t="shared" si="9"/>
        <v/>
      </c>
      <c r="N263" t="str">
        <f t="shared" si="10"/>
        <v/>
      </c>
      <c r="O263" t="str">
        <f t="shared" si="11"/>
        <v/>
      </c>
      <c r="P263" t="str">
        <f t="shared" si="12"/>
        <v/>
      </c>
      <c r="Q263" t="str">
        <f t="shared" si="13"/>
        <v/>
      </c>
      <c r="R263" t="str">
        <f t="shared" si="14"/>
        <v/>
      </c>
      <c r="S263" t="str">
        <f t="shared" si="15"/>
        <v/>
      </c>
    </row>
    <row r="264" spans="12:19" x14ac:dyDescent="0.3">
      <c r="L264" t="str">
        <f t="shared" si="8"/>
        <v/>
      </c>
      <c r="M264" t="str">
        <f t="shared" si="9"/>
        <v/>
      </c>
      <c r="N264" t="str">
        <f t="shared" si="10"/>
        <v/>
      </c>
      <c r="O264" t="str">
        <f t="shared" si="11"/>
        <v/>
      </c>
      <c r="P264" t="str">
        <f t="shared" si="12"/>
        <v/>
      </c>
      <c r="Q264" t="str">
        <f t="shared" si="13"/>
        <v/>
      </c>
      <c r="R264" t="str">
        <f t="shared" si="14"/>
        <v/>
      </c>
      <c r="S264" t="str">
        <f t="shared" si="15"/>
        <v/>
      </c>
    </row>
    <row r="265" spans="12:19" x14ac:dyDescent="0.3">
      <c r="L265" t="str">
        <f t="shared" si="8"/>
        <v/>
      </c>
      <c r="M265" t="str">
        <f t="shared" si="9"/>
        <v/>
      </c>
      <c r="N265" t="str">
        <f t="shared" si="10"/>
        <v/>
      </c>
      <c r="O265" t="str">
        <f t="shared" si="11"/>
        <v/>
      </c>
      <c r="P265" t="str">
        <f t="shared" si="12"/>
        <v/>
      </c>
      <c r="Q265" t="str">
        <f t="shared" si="13"/>
        <v/>
      </c>
      <c r="R265" t="str">
        <f t="shared" si="14"/>
        <v/>
      </c>
      <c r="S265" t="str">
        <f t="shared" si="15"/>
        <v/>
      </c>
    </row>
    <row r="266" spans="12:19" x14ac:dyDescent="0.3">
      <c r="L266" t="str">
        <f t="shared" ref="L266:L276" si="16">IF(C266="","",C266*60)</f>
        <v/>
      </c>
      <c r="M266" t="str">
        <f t="shared" ref="M266:M276" si="17">IF(D266="","",D266*60)</f>
        <v/>
      </c>
      <c r="N266" t="str">
        <f t="shared" ref="N266:N276" si="18">IF(E266="","",E266*60)</f>
        <v/>
      </c>
      <c r="O266" t="str">
        <f t="shared" ref="O266:O276" si="19">IF(F266="","",F266*60)</f>
        <v/>
      </c>
      <c r="P266" t="str">
        <f t="shared" ref="P266:P276" si="20">IF(G266="","",G266*60)</f>
        <v/>
      </c>
      <c r="Q266" t="str">
        <f t="shared" ref="Q266:Q276" si="21">IF(H266="","",H266*60)</f>
        <v/>
      </c>
      <c r="R266" t="str">
        <f t="shared" ref="R266:R276" si="22">IF(I266="","",I266*60)</f>
        <v/>
      </c>
      <c r="S266" t="str">
        <f t="shared" ref="S266:S276" si="23">IF(J266="","",J266*60)</f>
        <v/>
      </c>
    </row>
    <row r="267" spans="12:19" x14ac:dyDescent="0.3">
      <c r="L267" t="str">
        <f t="shared" si="16"/>
        <v/>
      </c>
      <c r="M267" t="str">
        <f t="shared" si="17"/>
        <v/>
      </c>
      <c r="N267" t="str">
        <f t="shared" si="18"/>
        <v/>
      </c>
      <c r="O267" t="str">
        <f t="shared" si="19"/>
        <v/>
      </c>
      <c r="P267" t="str">
        <f t="shared" si="20"/>
        <v/>
      </c>
      <c r="Q267" t="str">
        <f t="shared" si="21"/>
        <v/>
      </c>
      <c r="R267" t="str">
        <f t="shared" si="22"/>
        <v/>
      </c>
      <c r="S267" t="str">
        <f t="shared" si="23"/>
        <v/>
      </c>
    </row>
    <row r="268" spans="12:19" x14ac:dyDescent="0.3">
      <c r="L268" t="str">
        <f t="shared" si="16"/>
        <v/>
      </c>
      <c r="M268" t="str">
        <f t="shared" si="17"/>
        <v/>
      </c>
      <c r="N268" t="str">
        <f t="shared" si="18"/>
        <v/>
      </c>
      <c r="O268" t="str">
        <f t="shared" si="19"/>
        <v/>
      </c>
      <c r="P268" t="str">
        <f t="shared" si="20"/>
        <v/>
      </c>
      <c r="Q268" t="str">
        <f t="shared" si="21"/>
        <v/>
      </c>
      <c r="R268" t="str">
        <f t="shared" si="22"/>
        <v/>
      </c>
      <c r="S268" t="str">
        <f t="shared" si="23"/>
        <v/>
      </c>
    </row>
    <row r="269" spans="12:19" x14ac:dyDescent="0.3">
      <c r="L269" t="str">
        <f t="shared" si="16"/>
        <v/>
      </c>
      <c r="M269" t="str">
        <f t="shared" si="17"/>
        <v/>
      </c>
      <c r="N269" t="str">
        <f t="shared" si="18"/>
        <v/>
      </c>
      <c r="O269" t="str">
        <f t="shared" si="19"/>
        <v/>
      </c>
      <c r="P269" t="str">
        <f t="shared" si="20"/>
        <v/>
      </c>
      <c r="Q269" t="str">
        <f t="shared" si="21"/>
        <v/>
      </c>
      <c r="R269" t="str">
        <f t="shared" si="22"/>
        <v/>
      </c>
      <c r="S269" t="str">
        <f t="shared" si="23"/>
        <v/>
      </c>
    </row>
    <row r="270" spans="12:19" x14ac:dyDescent="0.3">
      <c r="L270" t="str">
        <f t="shared" si="16"/>
        <v/>
      </c>
      <c r="M270" t="str">
        <f t="shared" si="17"/>
        <v/>
      </c>
      <c r="N270" t="str">
        <f t="shared" si="18"/>
        <v/>
      </c>
      <c r="O270" t="str">
        <f t="shared" si="19"/>
        <v/>
      </c>
      <c r="P270" t="str">
        <f t="shared" si="20"/>
        <v/>
      </c>
      <c r="Q270" t="str">
        <f t="shared" si="21"/>
        <v/>
      </c>
      <c r="R270" t="str">
        <f t="shared" si="22"/>
        <v/>
      </c>
      <c r="S270" t="str">
        <f t="shared" si="23"/>
        <v/>
      </c>
    </row>
    <row r="271" spans="12:19" x14ac:dyDescent="0.3">
      <c r="L271" t="str">
        <f t="shared" si="16"/>
        <v/>
      </c>
      <c r="M271" t="str">
        <f t="shared" si="17"/>
        <v/>
      </c>
      <c r="N271" t="str">
        <f t="shared" si="18"/>
        <v/>
      </c>
      <c r="O271" t="str">
        <f t="shared" si="19"/>
        <v/>
      </c>
      <c r="P271" t="str">
        <f t="shared" si="20"/>
        <v/>
      </c>
      <c r="Q271" t="str">
        <f t="shared" si="21"/>
        <v/>
      </c>
      <c r="R271" t="str">
        <f t="shared" si="22"/>
        <v/>
      </c>
      <c r="S271" t="str">
        <f t="shared" si="23"/>
        <v/>
      </c>
    </row>
    <row r="272" spans="12:19" x14ac:dyDescent="0.3">
      <c r="L272" t="str">
        <f t="shared" si="16"/>
        <v/>
      </c>
      <c r="M272" t="str">
        <f t="shared" si="17"/>
        <v/>
      </c>
      <c r="N272" t="str">
        <f t="shared" si="18"/>
        <v/>
      </c>
      <c r="O272" t="str">
        <f t="shared" si="19"/>
        <v/>
      </c>
      <c r="P272" t="str">
        <f t="shared" si="20"/>
        <v/>
      </c>
      <c r="Q272" t="str">
        <f t="shared" si="21"/>
        <v/>
      </c>
      <c r="R272" t="str">
        <f t="shared" si="22"/>
        <v/>
      </c>
      <c r="S272" t="str">
        <f t="shared" si="23"/>
        <v/>
      </c>
    </row>
    <row r="273" spans="12:19" x14ac:dyDescent="0.3">
      <c r="L273" t="str">
        <f t="shared" si="16"/>
        <v/>
      </c>
      <c r="M273" t="str">
        <f t="shared" si="17"/>
        <v/>
      </c>
      <c r="N273" t="str">
        <f t="shared" si="18"/>
        <v/>
      </c>
      <c r="O273" t="str">
        <f t="shared" si="19"/>
        <v/>
      </c>
      <c r="P273" t="str">
        <f t="shared" si="20"/>
        <v/>
      </c>
      <c r="Q273" t="str">
        <f t="shared" si="21"/>
        <v/>
      </c>
      <c r="R273" t="str">
        <f t="shared" si="22"/>
        <v/>
      </c>
      <c r="S273" t="str">
        <f t="shared" si="23"/>
        <v/>
      </c>
    </row>
    <row r="274" spans="12:19" x14ac:dyDescent="0.3">
      <c r="L274" t="str">
        <f t="shared" si="16"/>
        <v/>
      </c>
      <c r="M274" t="str">
        <f t="shared" si="17"/>
        <v/>
      </c>
      <c r="N274" t="str">
        <f t="shared" si="18"/>
        <v/>
      </c>
      <c r="O274" t="str">
        <f t="shared" si="19"/>
        <v/>
      </c>
      <c r="P274" t="str">
        <f t="shared" si="20"/>
        <v/>
      </c>
      <c r="Q274" t="str">
        <f t="shared" si="21"/>
        <v/>
      </c>
      <c r="R274" t="str">
        <f t="shared" si="22"/>
        <v/>
      </c>
      <c r="S274" t="str">
        <f t="shared" si="23"/>
        <v/>
      </c>
    </row>
    <row r="275" spans="12:19" x14ac:dyDescent="0.3">
      <c r="L275" t="str">
        <f t="shared" si="16"/>
        <v/>
      </c>
      <c r="M275" t="str">
        <f t="shared" si="17"/>
        <v/>
      </c>
      <c r="N275" t="str">
        <f t="shared" si="18"/>
        <v/>
      </c>
      <c r="O275" t="str">
        <f t="shared" si="19"/>
        <v/>
      </c>
      <c r="P275" t="str">
        <f t="shared" si="20"/>
        <v/>
      </c>
      <c r="Q275" t="str">
        <f t="shared" si="21"/>
        <v/>
      </c>
      <c r="R275" t="str">
        <f t="shared" si="22"/>
        <v/>
      </c>
      <c r="S275" t="str">
        <f t="shared" si="23"/>
        <v/>
      </c>
    </row>
    <row r="276" spans="12:19" x14ac:dyDescent="0.3">
      <c r="L276" t="str">
        <f t="shared" si="16"/>
        <v/>
      </c>
      <c r="M276" t="str">
        <f t="shared" si="17"/>
        <v/>
      </c>
      <c r="N276" t="str">
        <f t="shared" si="18"/>
        <v/>
      </c>
      <c r="O276" t="str">
        <f t="shared" si="19"/>
        <v/>
      </c>
      <c r="P276" t="str">
        <f t="shared" si="20"/>
        <v/>
      </c>
      <c r="Q276" t="str">
        <f t="shared" si="21"/>
        <v/>
      </c>
      <c r="R276" t="str">
        <f t="shared" si="22"/>
        <v/>
      </c>
      <c r="S276" t="str">
        <f t="shared" si="23"/>
        <v/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0DDD6-42F2-44A4-B54C-0D530FED3AEE}">
  <dimension ref="A1:Y74"/>
  <sheetViews>
    <sheetView workbookViewId="0">
      <selection activeCell="S72" sqref="S72"/>
    </sheetView>
  </sheetViews>
  <sheetFormatPr defaultRowHeight="14.4" x14ac:dyDescent="0.3"/>
  <sheetData>
    <row r="1" spans="1:25" x14ac:dyDescent="0.3">
      <c r="A1" s="1">
        <v>45883.78392361111</v>
      </c>
      <c r="B1">
        <v>1755211731</v>
      </c>
      <c r="C1">
        <v>2.0499999999999998</v>
      </c>
      <c r="D1">
        <v>6.4666600000000001</v>
      </c>
      <c r="E1">
        <v>3.1666599999999998</v>
      </c>
      <c r="F1">
        <v>1.9</v>
      </c>
      <c r="G1">
        <v>0.68332999999999999</v>
      </c>
      <c r="H1">
        <v>5.45</v>
      </c>
      <c r="I1">
        <v>3.3</v>
      </c>
      <c r="J1">
        <v>8</v>
      </c>
      <c r="K1" s="2"/>
      <c r="L1">
        <f>IF(C1="","",C1*60)</f>
        <v>122.99999999999999</v>
      </c>
      <c r="M1">
        <f>IF(D1="","",D1*60)</f>
        <v>387.99959999999999</v>
      </c>
      <c r="N1">
        <f>IF(E1="","",E1*60)</f>
        <v>189.99959999999999</v>
      </c>
      <c r="O1">
        <f>IF(F1="","",F1*60)</f>
        <v>114</v>
      </c>
      <c r="P1">
        <f>IF(G1="","",G1*60)</f>
        <v>40.9998</v>
      </c>
      <c r="Q1">
        <f>IF(H1="","",H1*60)</f>
        <v>327</v>
      </c>
      <c r="R1">
        <f>IF(I1="","",I1*60)</f>
        <v>198</v>
      </c>
      <c r="S1">
        <f>IF(J1="","",J1*60)</f>
        <v>480</v>
      </c>
      <c r="T1" s="3">
        <f>ROUND(IF(L1="",AVERAGE(L:L),L1)+IF(M1="",AVERAGE(M:M),M1)+IF(N1="",AVERAGE(N:N),N1)+IF(O1="",AVERAGE(O:O),O1)+IF(P1="",AVERAGE(P:P),P1)+IF(Q1="",AVERAGE(Q:Q),Q1)+IF(R1="",AVERAGE(R:R),R1)+IF(S1="",AVERAGE(S:S),S1), 4-(1+INT(LOG10(ABS(IF(L1="",AVERAGE(L:L),L1)+IF(M1="",AVERAGE(M:M),M1)+IF(N1="",AVERAGE(N:N),N1)+IF(O1="",AVERAGE(O:O),O1)+IF(P1="",AVERAGE(P:P),P1)+IF(Q1="",AVERAGE(Q:Q),Q1)+IF(R1="",AVERAGE(R:R),R1)+IF(S1="",AVERAGE(S:S),S1))))))</f>
        <v>1861</v>
      </c>
      <c r="U1" t="s">
        <v>18</v>
      </c>
      <c r="V1" t="str">
        <f>AVERAGE(L:L) &amp; " ± " &amp; _xlfn.T.INV(1-(1-0.95)/2, COUNT(L:L)-1) * _xlfn.STDEV.S(L:L)/SQRT(COUNT(L:L))</f>
        <v>137.837651351351 ± 4.27716174177808</v>
      </c>
      <c r="Y1">
        <f>AVERAGE(L:L)</f>
        <v>137.83765135135121</v>
      </c>
    </row>
    <row r="2" spans="1:25" x14ac:dyDescent="0.3">
      <c r="A2" s="1">
        <v>45883.810057870367</v>
      </c>
      <c r="B2">
        <v>1755213989</v>
      </c>
      <c r="C2">
        <v>2.0499999999999998</v>
      </c>
      <c r="D2">
        <v>6.6833299999999998</v>
      </c>
      <c r="E2">
        <v>3.11666</v>
      </c>
      <c r="F2">
        <v>1.8833299999999999</v>
      </c>
      <c r="G2">
        <v>0.66666000000000003</v>
      </c>
      <c r="H2">
        <v>5.4833299999999996</v>
      </c>
      <c r="I2">
        <v>4.5999999999999996</v>
      </c>
      <c r="J2">
        <v>8.1833299999999998</v>
      </c>
      <c r="K2" s="2"/>
      <c r="L2">
        <f>IF(C2="","",C2*60)</f>
        <v>122.99999999999999</v>
      </c>
      <c r="M2">
        <f>IF(D2="","",D2*60)</f>
        <v>400.99979999999999</v>
      </c>
      <c r="N2">
        <f>IF(E2="","",E2*60)</f>
        <v>186.99959999999999</v>
      </c>
      <c r="O2">
        <f>IF(F2="","",F2*60)</f>
        <v>112.99979999999999</v>
      </c>
      <c r="P2">
        <f>IF(G2="","",G2*60)</f>
        <v>39.999600000000001</v>
      </c>
      <c r="Q2">
        <f>IF(H2="","",H2*60)</f>
        <v>328.99979999999999</v>
      </c>
      <c r="R2">
        <f>IF(I2="","",I2*60)</f>
        <v>276</v>
      </c>
      <c r="S2">
        <f>IF(J2="","",J2*60)</f>
        <v>490.99979999999999</v>
      </c>
      <c r="T2" s="3">
        <f>ROUND(IF(L2="",AVERAGE(L:L),L2)+IF(M2="",AVERAGE(M:M),M2)+IF(N2="",AVERAGE(N:N),N2)+IF(O2="",AVERAGE(O:O),O2)+IF(P2="",AVERAGE(P:P),P2)+IF(Q2="",AVERAGE(Q:Q),Q2)+IF(R2="",AVERAGE(R:R),R2)+IF(S2="",AVERAGE(S:S),S2), 4-(1+INT(LOG10(ABS(IF(L2="",AVERAGE(L:L),L2)+IF(M2="",AVERAGE(M:M),M2)+IF(N2="",AVERAGE(N:N),N2)+IF(O2="",AVERAGE(O:O),O2)+IF(P2="",AVERAGE(P:P),P2)+IF(Q2="",AVERAGE(Q:Q),Q2)+IF(R2="",AVERAGE(R:R),R2)+IF(S2="",AVERAGE(S:S),S2))))))</f>
        <v>1960</v>
      </c>
      <c r="U2" t="s">
        <v>25</v>
      </c>
      <c r="V2" t="str">
        <f>AVERAGE(M:M) &amp; " ± " &amp; _xlfn.T.INV(1-(1-0.95)/2, COUNT(M:M)-1) * _xlfn.STDEV.S(M:M)/SQRT(COUNT(M:M))</f>
        <v>493.134924324324 ± 17.6739093494865</v>
      </c>
      <c r="Y2">
        <f>AVERAGE(M:M)</f>
        <v>493.13492432432412</v>
      </c>
    </row>
    <row r="3" spans="1:25" x14ac:dyDescent="0.3">
      <c r="A3" s="1">
        <v>45883.836631944447</v>
      </c>
      <c r="B3">
        <v>1755216285</v>
      </c>
      <c r="C3">
        <v>2.0499999999999998</v>
      </c>
      <c r="D3">
        <v>7.6833299999999998</v>
      </c>
      <c r="E3">
        <v>2.75</v>
      </c>
      <c r="F3">
        <v>2.25</v>
      </c>
      <c r="G3">
        <v>0.66666000000000003</v>
      </c>
      <c r="H3">
        <v>5.2333299999999996</v>
      </c>
      <c r="I3">
        <v>3.8166600000000002</v>
      </c>
      <c r="J3">
        <v>8.6333300000000008</v>
      </c>
      <c r="K3" s="2"/>
      <c r="L3">
        <f>IF(C3="","",C3*60)</f>
        <v>122.99999999999999</v>
      </c>
      <c r="M3">
        <f>IF(D3="","",D3*60)</f>
        <v>460.99979999999999</v>
      </c>
      <c r="N3">
        <f>IF(E3="","",E3*60)</f>
        <v>165</v>
      </c>
      <c r="O3">
        <f>IF(F3="","",F3*60)</f>
        <v>135</v>
      </c>
      <c r="P3">
        <f>IF(G3="","",G3*60)</f>
        <v>39.999600000000001</v>
      </c>
      <c r="Q3">
        <f>IF(H3="","",H3*60)</f>
        <v>313.99979999999999</v>
      </c>
      <c r="R3">
        <f>IF(I3="","",I3*60)</f>
        <v>228.99960000000002</v>
      </c>
      <c r="S3">
        <f>IF(J3="","",J3*60)</f>
        <v>517.99980000000005</v>
      </c>
      <c r="T3" s="3">
        <f>ROUND(IF(L3="",AVERAGE(L:L),L3)+IF(M3="",AVERAGE(M:M),M3)+IF(N3="",AVERAGE(N:N),N3)+IF(O3="",AVERAGE(O:O),O3)+IF(P3="",AVERAGE(P:P),P3)+IF(Q3="",AVERAGE(Q:Q),Q3)+IF(R3="",AVERAGE(R:R),R3)+IF(S3="",AVERAGE(S:S),S3), 4-(1+INT(LOG10(ABS(IF(L3="",AVERAGE(L:L),L3)+IF(M3="",AVERAGE(M:M),M3)+IF(N3="",AVERAGE(N:N),N3)+IF(O3="",AVERAGE(O:O),O3)+IF(P3="",AVERAGE(P:P),P3)+IF(Q3="",AVERAGE(Q:Q),Q3)+IF(R3="",AVERAGE(R:R),R3)+IF(S3="",AVERAGE(S:S),S3))))))</f>
        <v>1985</v>
      </c>
      <c r="U3" t="s">
        <v>19</v>
      </c>
      <c r="V3" t="str">
        <f>AVERAGE(N:N) &amp; " ± " &amp; _xlfn.T.INV(1-(1-0.95)/2, COUNT(N:N)-1) * _xlfn.STDEV.S(N:N)/SQRT(COUNT(N:N))</f>
        <v>180.243024324324 ± 4.05690351962221</v>
      </c>
      <c r="Y3">
        <f>AVERAGE(N:N)</f>
        <v>180.24302432432415</v>
      </c>
    </row>
    <row r="4" spans="1:25" x14ac:dyDescent="0.3">
      <c r="A4" s="1">
        <v>45883.862037037034</v>
      </c>
      <c r="B4">
        <v>1755218480</v>
      </c>
      <c r="C4">
        <v>2.0499999999999998</v>
      </c>
      <c r="D4">
        <v>6.7333299999999996</v>
      </c>
      <c r="E4">
        <v>3.15</v>
      </c>
      <c r="F4">
        <v>1.93333</v>
      </c>
      <c r="G4">
        <v>0.68332999999999999</v>
      </c>
      <c r="H4">
        <v>5.35</v>
      </c>
      <c r="I4">
        <v>3.25</v>
      </c>
      <c r="J4">
        <v>8.3333300000000001</v>
      </c>
      <c r="K4" s="2"/>
      <c r="L4">
        <f>IF(C4="","",C4*60)</f>
        <v>122.99999999999999</v>
      </c>
      <c r="M4">
        <f>IF(D4="","",D4*60)</f>
        <v>403.99979999999999</v>
      </c>
      <c r="N4">
        <f>IF(E4="","",E4*60)</f>
        <v>189</v>
      </c>
      <c r="O4">
        <f>IF(F4="","",F4*60)</f>
        <v>115.99979999999999</v>
      </c>
      <c r="P4">
        <f>IF(G4="","",G4*60)</f>
        <v>40.9998</v>
      </c>
      <c r="Q4">
        <f>IF(H4="","",H4*60)</f>
        <v>321</v>
      </c>
      <c r="R4">
        <f>IF(I4="","",I4*60)</f>
        <v>195</v>
      </c>
      <c r="S4">
        <f>IF(J4="","",J4*60)</f>
        <v>499.99979999999999</v>
      </c>
      <c r="T4" s="3">
        <f>ROUND(IF(L4="",AVERAGE(L:L),L4)+IF(M4="",AVERAGE(M:M),M4)+IF(N4="",AVERAGE(N:N),N4)+IF(O4="",AVERAGE(O:O),O4)+IF(P4="",AVERAGE(P:P),P4)+IF(Q4="",AVERAGE(Q:Q),Q4)+IF(R4="",AVERAGE(R:R),R4)+IF(S4="",AVERAGE(S:S),S4), 4-(1+INT(LOG10(ABS(IF(L4="",AVERAGE(L:L),L4)+IF(M4="",AVERAGE(M:M),M4)+IF(N4="",AVERAGE(N:N),N4)+IF(O4="",AVERAGE(O:O),O4)+IF(P4="",AVERAGE(P:P),P4)+IF(Q4="",AVERAGE(Q:Q),Q4)+IF(R4="",AVERAGE(R:R),R4)+IF(S4="",AVERAGE(S:S),S4))))))</f>
        <v>1889</v>
      </c>
      <c r="U4" t="s">
        <v>20</v>
      </c>
      <c r="V4" t="str">
        <f>AVERAGE(O:O) &amp; " ± " &amp; _xlfn.T.INV(1-(1-0.95)/2, COUNT(O:O)-1) * _xlfn.STDEV.S(O:O)/SQRT(COUNT(O:O))</f>
        <v>127.121432432432 ± 4.37403349115157</v>
      </c>
      <c r="Y4">
        <f>AVERAGE(O:O)</f>
        <v>127.12143243243234</v>
      </c>
    </row>
    <row r="5" spans="1:25" x14ac:dyDescent="0.3">
      <c r="A5" s="1">
        <v>45883.887812499997</v>
      </c>
      <c r="B5">
        <v>1755220707</v>
      </c>
      <c r="C5">
        <v>2.0666600000000002</v>
      </c>
      <c r="D5">
        <v>7.1666600000000003</v>
      </c>
      <c r="E5">
        <v>2.73333</v>
      </c>
      <c r="F5">
        <v>2</v>
      </c>
      <c r="G5">
        <v>0.66666000000000003</v>
      </c>
      <c r="H5">
        <v>5.3333300000000001</v>
      </c>
      <c r="I5">
        <v>3.25</v>
      </c>
      <c r="J5">
        <v>8.65</v>
      </c>
      <c r="K5" s="2"/>
      <c r="L5">
        <f>IF(C5="","",C5*60)</f>
        <v>123.99960000000002</v>
      </c>
      <c r="M5">
        <f>IF(D5="","",D5*60)</f>
        <v>429.99959999999999</v>
      </c>
      <c r="N5">
        <f>IF(E5="","",E5*60)</f>
        <v>163.99979999999999</v>
      </c>
      <c r="O5">
        <f>IF(F5="","",F5*60)</f>
        <v>120</v>
      </c>
      <c r="P5">
        <f>IF(G5="","",G5*60)</f>
        <v>39.999600000000001</v>
      </c>
      <c r="Q5">
        <f>IF(H5="","",H5*60)</f>
        <v>319.99979999999999</v>
      </c>
      <c r="R5">
        <f>IF(I5="","",I5*60)</f>
        <v>195</v>
      </c>
      <c r="S5">
        <f>IF(J5="","",J5*60)</f>
        <v>519</v>
      </c>
      <c r="T5" s="3">
        <f>ROUND(IF(L5="",AVERAGE(L:L),L5)+IF(M5="",AVERAGE(M:M),M5)+IF(N5="",AVERAGE(N:N),N5)+IF(O5="",AVERAGE(O:O),O5)+IF(P5="",AVERAGE(P:P),P5)+IF(Q5="",AVERAGE(Q:Q),Q5)+IF(R5="",AVERAGE(R:R),R5)+IF(S5="",AVERAGE(S:S),S5), 4-(1+INT(LOG10(ABS(IF(L5="",AVERAGE(L:L),L5)+IF(M5="",AVERAGE(M:M),M5)+IF(N5="",AVERAGE(N:N),N5)+IF(O5="",AVERAGE(O:O),O5)+IF(P5="",AVERAGE(P:P),P5)+IF(Q5="",AVERAGE(Q:Q),Q5)+IF(R5="",AVERAGE(R:R),R5)+IF(S5="",AVERAGE(S:S),S5))))))</f>
        <v>1912</v>
      </c>
      <c r="U5" t="s">
        <v>21</v>
      </c>
      <c r="V5" t="str">
        <f>AVERAGE(P:P) &amp; " ± " &amp; _xlfn.T.INV(1-(1-0.95)/2, COUNT(P:P)-1) * _xlfn.STDEV.S(P:P)/SQRT(COUNT(P:P))</f>
        <v>45.4322675675676 ± 1.76654722592088</v>
      </c>
      <c r="Y5">
        <f>AVERAGE(P:P)</f>
        <v>45.432267567567592</v>
      </c>
    </row>
    <row r="6" spans="1:25" x14ac:dyDescent="0.3">
      <c r="A6" s="1">
        <v>45883.914421296293</v>
      </c>
      <c r="B6">
        <v>1755223006</v>
      </c>
      <c r="C6">
        <v>2.11666</v>
      </c>
      <c r="D6">
        <v>6.9666600000000001</v>
      </c>
      <c r="E6">
        <v>3</v>
      </c>
      <c r="F6">
        <v>2</v>
      </c>
      <c r="G6">
        <v>0.75</v>
      </c>
      <c r="H6">
        <v>6.2166600000000001</v>
      </c>
      <c r="I6">
        <v>3.95</v>
      </c>
      <c r="J6">
        <v>8.25</v>
      </c>
      <c r="K6" s="2"/>
      <c r="L6">
        <f>IF(C6="","",C6*60)</f>
        <v>126.9996</v>
      </c>
      <c r="M6">
        <f>IF(D6="","",D6*60)</f>
        <v>417.99959999999999</v>
      </c>
      <c r="N6">
        <f>IF(E6="","",E6*60)</f>
        <v>180</v>
      </c>
      <c r="O6">
        <f>IF(F6="","",F6*60)</f>
        <v>120</v>
      </c>
      <c r="P6">
        <f>IF(G6="","",G6*60)</f>
        <v>45</v>
      </c>
      <c r="Q6">
        <f>IF(H6="","",H6*60)</f>
        <v>372.99959999999999</v>
      </c>
      <c r="R6">
        <f>IF(I6="","",I6*60)</f>
        <v>237</v>
      </c>
      <c r="S6">
        <f>IF(J6="","",J6*60)</f>
        <v>495</v>
      </c>
      <c r="T6" s="3">
        <f>ROUND(IF(L6="",AVERAGE(L:L),L6)+IF(M6="",AVERAGE(M:M),M6)+IF(N6="",AVERAGE(N:N),N6)+IF(O6="",AVERAGE(O:O),O6)+IF(P6="",AVERAGE(P:P),P6)+IF(Q6="",AVERAGE(Q:Q),Q6)+IF(R6="",AVERAGE(R:R),R6)+IF(S6="",AVERAGE(S:S),S6), 4-(1+INT(LOG10(ABS(IF(L6="",AVERAGE(L:L),L6)+IF(M6="",AVERAGE(M:M),M6)+IF(N6="",AVERAGE(N:N),N6)+IF(O6="",AVERAGE(O:O),O6)+IF(P6="",AVERAGE(P:P),P6)+IF(Q6="",AVERAGE(Q:Q),Q6)+IF(R6="",AVERAGE(R:R),R6)+IF(S6="",AVERAGE(S:S),S6))))))</f>
        <v>1995</v>
      </c>
      <c r="U6" t="s">
        <v>24</v>
      </c>
      <c r="V6" t="str">
        <f>AVERAGE(Q:Q) &amp; " ± " &amp; _xlfn.T.INV(1-(1-0.95)/2, COUNT(Q:Q)-1) * _xlfn.STDEV.S(Q:Q)/SQRT(COUNT(Q:Q))</f>
        <v>332.891691891892 ± 7.85083971047012</v>
      </c>
      <c r="Y6">
        <f>AVERAGE(Q:Q)</f>
        <v>332.89169189189181</v>
      </c>
    </row>
    <row r="7" spans="1:25" x14ac:dyDescent="0.3">
      <c r="A7" s="1">
        <v>45883.943009259259</v>
      </c>
      <c r="B7">
        <v>1755225476</v>
      </c>
      <c r="C7">
        <v>3.3833299999999999</v>
      </c>
      <c r="D7">
        <v>7.3166599999999997</v>
      </c>
      <c r="E7">
        <v>3.6666599999999998</v>
      </c>
      <c r="F7">
        <v>2.5333299999999999</v>
      </c>
      <c r="G7">
        <v>0.9</v>
      </c>
      <c r="H7">
        <v>5.7833300000000003</v>
      </c>
      <c r="I7">
        <v>3.86666</v>
      </c>
      <c r="J7">
        <v>8.4666599999999992</v>
      </c>
      <c r="K7" s="2"/>
      <c r="L7">
        <f>IF(C7="","",C7*60)</f>
        <v>202.99979999999999</v>
      </c>
      <c r="M7">
        <f>IF(D7="","",D7*60)</f>
        <v>438.99959999999999</v>
      </c>
      <c r="N7">
        <f>IF(E7="","",E7*60)</f>
        <v>219.99959999999999</v>
      </c>
      <c r="O7">
        <f>IF(F7="","",F7*60)</f>
        <v>151.99979999999999</v>
      </c>
      <c r="P7">
        <f>IF(G7="","",G7*60)</f>
        <v>54</v>
      </c>
      <c r="Q7">
        <f>IF(H7="","",H7*60)</f>
        <v>346.99979999999999</v>
      </c>
      <c r="R7">
        <f>IF(I7="","",I7*60)</f>
        <v>231.99959999999999</v>
      </c>
      <c r="S7">
        <f>IF(J7="","",J7*60)</f>
        <v>507.99959999999993</v>
      </c>
      <c r="T7" s="3">
        <f>ROUND(IF(L7="",AVERAGE(L:L),L7)+IF(M7="",AVERAGE(M:M),M7)+IF(N7="",AVERAGE(N:N),N7)+IF(O7="",AVERAGE(O:O),O7)+IF(P7="",AVERAGE(P:P),P7)+IF(Q7="",AVERAGE(Q:Q),Q7)+IF(R7="",AVERAGE(R:R),R7)+IF(S7="",AVERAGE(S:S),S7), 4-(1+INT(LOG10(ABS(IF(L7="",AVERAGE(L:L),L7)+IF(M7="",AVERAGE(M:M),M7)+IF(N7="",AVERAGE(N:N),N7)+IF(O7="",AVERAGE(O:O),O7)+IF(P7="",AVERAGE(P:P),P7)+IF(Q7="",AVERAGE(Q:Q),Q7)+IF(R7="",AVERAGE(R:R),R7)+IF(S7="",AVERAGE(S:S),S7))))))</f>
        <v>2155</v>
      </c>
      <c r="U7" t="s">
        <v>23</v>
      </c>
      <c r="V7" t="str">
        <f>AVERAGE(R:R) &amp; " ± " &amp; _xlfn.T.INV(1-(1-0.95)/2, COUNT(R:R)-1) * _xlfn.STDEV.S(R:R)/SQRT(COUNT(R:R))</f>
        <v>207.634937837838 ± 4.10425550890923</v>
      </c>
      <c r="Y7">
        <f>AVERAGE(R:R)</f>
        <v>207.63493783783764</v>
      </c>
    </row>
    <row r="8" spans="1:25" x14ac:dyDescent="0.3">
      <c r="A8" s="1">
        <v>45884.436712962961</v>
      </c>
      <c r="B8">
        <v>1755268132</v>
      </c>
      <c r="C8">
        <v>2.8833299999999999</v>
      </c>
      <c r="D8">
        <v>8.6999999999999993</v>
      </c>
      <c r="E8">
        <v>3.3</v>
      </c>
      <c r="F8">
        <v>1.9</v>
      </c>
      <c r="G8">
        <v>0.78332999999999997</v>
      </c>
      <c r="H8">
        <v>7.3166599999999997</v>
      </c>
      <c r="I8">
        <v>3.9333300000000002</v>
      </c>
      <c r="J8">
        <v>9.0333299999999994</v>
      </c>
      <c r="K8" s="2"/>
      <c r="L8">
        <f>IF(C8="","",C8*60)</f>
        <v>172.99979999999999</v>
      </c>
      <c r="M8">
        <f>IF(D8="","",D8*60)</f>
        <v>522</v>
      </c>
      <c r="N8">
        <f>IF(E8="","",E8*60)</f>
        <v>198</v>
      </c>
      <c r="O8">
        <f>IF(F8="","",F8*60)</f>
        <v>114</v>
      </c>
      <c r="P8">
        <f>IF(G8="","",G8*60)</f>
        <v>46.9998</v>
      </c>
      <c r="Q8">
        <f>IF(H8="","",H8*60)</f>
        <v>438.99959999999999</v>
      </c>
      <c r="R8">
        <f>IF(I8="","",I8*60)</f>
        <v>235.99980000000002</v>
      </c>
      <c r="S8">
        <f>IF(J8="","",J8*60)</f>
        <v>541.99979999999994</v>
      </c>
      <c r="T8" s="3">
        <f>ROUND(IF(L8="",AVERAGE(L:L),L8)+IF(M8="",AVERAGE(M:M),M8)+IF(N8="",AVERAGE(N:N),N8)+IF(O8="",AVERAGE(O:O),O8)+IF(P8="",AVERAGE(P:P),P8)+IF(Q8="",AVERAGE(Q:Q),Q8)+IF(R8="",AVERAGE(R:R),R8)+IF(S8="",AVERAGE(S:S),S8), 4-(1+INT(LOG10(ABS(IF(L8="",AVERAGE(L:L),L8)+IF(M8="",AVERAGE(M:M),M8)+IF(N8="",AVERAGE(N:N),N8)+IF(O8="",AVERAGE(O:O),O8)+IF(P8="",AVERAGE(P:P),P8)+IF(Q8="",AVERAGE(Q:Q),Q8)+IF(R8="",AVERAGE(R:R),R8)+IF(S8="",AVERAGE(S:S),S8))))))</f>
        <v>2271</v>
      </c>
      <c r="U8" t="s">
        <v>22</v>
      </c>
      <c r="V8" t="str">
        <f>AVERAGE(S:S) &amp; " ± " &amp; _xlfn.T.INV(1-(1-0.95)/2, COUNT(S:S)-1) * _xlfn.STDEV.S(S:S)/SQRT(COUNT(S:S))</f>
        <v>567.140645070423 ± 9.93876284708581</v>
      </c>
      <c r="Y8">
        <f>AVERAGE(S:S)</f>
        <v>567.14064507042269</v>
      </c>
    </row>
    <row r="9" spans="1:25" x14ac:dyDescent="0.3">
      <c r="A9" s="1">
        <v>45884.470127314817</v>
      </c>
      <c r="B9">
        <v>1755271019</v>
      </c>
      <c r="C9">
        <v>2.9</v>
      </c>
      <c r="D9">
        <v>8.4666599999999992</v>
      </c>
      <c r="E9">
        <v>4</v>
      </c>
      <c r="F9">
        <v>2.6333299999999999</v>
      </c>
      <c r="G9">
        <v>0.86665999999999999</v>
      </c>
      <c r="H9">
        <v>7.4833299999999996</v>
      </c>
      <c r="I9">
        <v>4.4000000000000004</v>
      </c>
      <c r="J9">
        <v>9.7833299999999994</v>
      </c>
      <c r="K9" s="2"/>
      <c r="L9">
        <f>IF(C9="","",C9*60)</f>
        <v>174</v>
      </c>
      <c r="M9">
        <f>IF(D9="","",D9*60)</f>
        <v>507.99959999999993</v>
      </c>
      <c r="N9">
        <f>IF(E9="","",E9*60)</f>
        <v>240</v>
      </c>
      <c r="O9">
        <f>IF(F9="","",F9*60)</f>
        <v>157.99979999999999</v>
      </c>
      <c r="P9">
        <f>IF(G9="","",G9*60)</f>
        <v>51.999600000000001</v>
      </c>
      <c r="Q9">
        <f>IF(H9="","",H9*60)</f>
        <v>448.99979999999999</v>
      </c>
      <c r="R9">
        <f>IF(I9="","",I9*60)</f>
        <v>264</v>
      </c>
      <c r="S9">
        <f>IF(J9="","",J9*60)</f>
        <v>586.99979999999994</v>
      </c>
      <c r="T9" s="3">
        <f>ROUND(IF(L9="",AVERAGE(L:L),L9)+IF(M9="",AVERAGE(M:M),M9)+IF(N9="",AVERAGE(N:N),N9)+IF(O9="",AVERAGE(O:O),O9)+IF(P9="",AVERAGE(P:P),P9)+IF(Q9="",AVERAGE(Q:Q),Q9)+IF(R9="",AVERAGE(R:R),R9)+IF(S9="",AVERAGE(S:S),S9), 4-(1+INT(LOG10(ABS(IF(L9="",AVERAGE(L:L),L9)+IF(M9="",AVERAGE(M:M),M9)+IF(N9="",AVERAGE(N:N),N9)+IF(O9="",AVERAGE(O:O),O9)+IF(P9="",AVERAGE(P:P),P9)+IF(Q9="",AVERAGE(Q:Q),Q9)+IF(R9="",AVERAGE(R:R),R9)+IF(S9="",AVERAGE(S:S),S9))))))</f>
        <v>2432</v>
      </c>
    </row>
    <row r="10" spans="1:25" x14ac:dyDescent="0.3">
      <c r="A10" s="1">
        <v>45884.498923611114</v>
      </c>
      <c r="B10">
        <v>1755273507</v>
      </c>
      <c r="C10">
        <v>2.3333300000000001</v>
      </c>
      <c r="D10">
        <v>8.0833300000000001</v>
      </c>
      <c r="E10">
        <v>3.1833300000000002</v>
      </c>
      <c r="F10">
        <v>2.25</v>
      </c>
      <c r="G10">
        <v>0.81666000000000005</v>
      </c>
      <c r="H10">
        <v>5.6166600000000004</v>
      </c>
      <c r="I10">
        <v>3.9333300000000002</v>
      </c>
      <c r="J10">
        <v>9</v>
      </c>
      <c r="K10" s="2"/>
      <c r="L10">
        <f>IF(C10="","",C10*60)</f>
        <v>139.99979999999999</v>
      </c>
      <c r="M10">
        <f>IF(D10="","",D10*60)</f>
        <v>484.99979999999999</v>
      </c>
      <c r="N10">
        <f>IF(E10="","",E10*60)</f>
        <v>190.99980000000002</v>
      </c>
      <c r="O10">
        <f>IF(F10="","",F10*60)</f>
        <v>135</v>
      </c>
      <c r="P10">
        <f>IF(G10="","",G10*60)</f>
        <v>48.999600000000001</v>
      </c>
      <c r="Q10">
        <f>IF(H10="","",H10*60)</f>
        <v>336.99960000000004</v>
      </c>
      <c r="R10">
        <f>IF(I10="","",I10*60)</f>
        <v>235.99980000000002</v>
      </c>
      <c r="S10">
        <f>IF(J10="","",J10*60)</f>
        <v>540</v>
      </c>
      <c r="T10" s="3">
        <f>ROUND(IF(L10="",AVERAGE(L:L),L10)+IF(M10="",AVERAGE(M:M),M10)+IF(N10="",AVERAGE(N:N),N10)+IF(O10="",AVERAGE(O:O),O10)+IF(P10="",AVERAGE(P:P),P10)+IF(Q10="",AVERAGE(Q:Q),Q10)+IF(R10="",AVERAGE(R:R),R10)+IF(S10="",AVERAGE(S:S),S10), 4-(1+INT(LOG10(ABS(IF(L10="",AVERAGE(L:L),L10)+IF(M10="",AVERAGE(M:M),M10)+IF(N10="",AVERAGE(N:N),N10)+IF(O10="",AVERAGE(O:O),O10)+IF(P10="",AVERAGE(P:P),P10)+IF(Q10="",AVERAGE(Q:Q),Q10)+IF(R10="",AVERAGE(R:R),R10)+IF(S10="",AVERAGE(S:S),S10))))))</f>
        <v>2113</v>
      </c>
      <c r="U10" t="s">
        <v>28</v>
      </c>
      <c r="V10" t="str">
        <f>AVERAGE(T:T) &amp; " ± " &amp; _xlfn.T.INV(1-(1-0.95)/2, COUNT(T:T)-1) * _xlfn.STDEV.S(T:T)/SQRT(COUNT(T:T))</f>
        <v>2091.36486486487 ± 27.6660703728427</v>
      </c>
      <c r="Y10">
        <f>SUM(Y1:Y8)</f>
        <v>2091.4365748001514</v>
      </c>
    </row>
    <row r="11" spans="1:25" x14ac:dyDescent="0.3">
      <c r="A11" s="1">
        <v>45884.526724537034</v>
      </c>
      <c r="B11">
        <v>1755275909</v>
      </c>
      <c r="C11">
        <v>2.2000000000000002</v>
      </c>
      <c r="D11">
        <v>8.5</v>
      </c>
      <c r="E11">
        <v>3.11666</v>
      </c>
      <c r="F11">
        <v>2.2666599999999999</v>
      </c>
      <c r="G11">
        <v>0.66666000000000003</v>
      </c>
      <c r="H11">
        <v>5.25</v>
      </c>
      <c r="I11">
        <v>3.11666</v>
      </c>
      <c r="J11">
        <v>9.0333299999999994</v>
      </c>
      <c r="K11" s="2"/>
      <c r="L11">
        <f>IF(C11="","",C11*60)</f>
        <v>132</v>
      </c>
      <c r="M11">
        <f>IF(D11="","",D11*60)</f>
        <v>510</v>
      </c>
      <c r="N11">
        <f>IF(E11="","",E11*60)</f>
        <v>186.99959999999999</v>
      </c>
      <c r="O11">
        <f>IF(F11="","",F11*60)</f>
        <v>135.99959999999999</v>
      </c>
      <c r="P11">
        <f>IF(G11="","",G11*60)</f>
        <v>39.999600000000001</v>
      </c>
      <c r="Q11">
        <f>IF(H11="","",H11*60)</f>
        <v>315</v>
      </c>
      <c r="R11">
        <f>IF(I11="","",I11*60)</f>
        <v>186.99959999999999</v>
      </c>
      <c r="S11">
        <f>IF(J11="","",J11*60)</f>
        <v>541.99979999999994</v>
      </c>
      <c r="T11" s="3">
        <f>ROUND(IF(L11="",AVERAGE(L:L),L11)+IF(M11="",AVERAGE(M:M),M11)+IF(N11="",AVERAGE(N:N),N11)+IF(O11="",AVERAGE(O:O),O11)+IF(P11="",AVERAGE(P:P),P11)+IF(Q11="",AVERAGE(Q:Q),Q11)+IF(R11="",AVERAGE(R:R),R11)+IF(S11="",AVERAGE(S:S),S11), 4-(1+INT(LOG10(ABS(IF(L11="",AVERAGE(L:L),L11)+IF(M11="",AVERAGE(M:M),M11)+IF(N11="",AVERAGE(N:N),N11)+IF(O11="",AVERAGE(O:O),O11)+IF(P11="",AVERAGE(P:P),P11)+IF(Q11="",AVERAGE(Q:Q),Q11)+IF(R11="",AVERAGE(R:R),R11)+IF(S11="",AVERAGE(S:S),S11))))))</f>
        <v>2049</v>
      </c>
    </row>
    <row r="12" spans="1:25" x14ac:dyDescent="0.3">
      <c r="A12" s="1">
        <v>45884.554120370369</v>
      </c>
      <c r="B12">
        <v>1755278276</v>
      </c>
      <c r="C12">
        <v>2.2166600000000001</v>
      </c>
      <c r="D12">
        <v>8.0166599999999999</v>
      </c>
      <c r="E12">
        <v>2.7833299999999999</v>
      </c>
      <c r="F12">
        <v>1.9</v>
      </c>
      <c r="G12">
        <v>0.71665999999999996</v>
      </c>
      <c r="H12">
        <v>5.2333299999999996</v>
      </c>
      <c r="I12">
        <v>3.3333300000000001</v>
      </c>
      <c r="J12">
        <v>9.1333300000000008</v>
      </c>
      <c r="K12" s="2"/>
      <c r="L12">
        <f>IF(C12="","",C12*60)</f>
        <v>132.99960000000002</v>
      </c>
      <c r="M12">
        <f>IF(D12="","",D12*60)</f>
        <v>480.99959999999999</v>
      </c>
      <c r="N12">
        <f>IF(E12="","",E12*60)</f>
        <v>166.99979999999999</v>
      </c>
      <c r="O12">
        <f>IF(F12="","",F12*60)</f>
        <v>114</v>
      </c>
      <c r="P12">
        <f>IF(G12="","",G12*60)</f>
        <v>42.999600000000001</v>
      </c>
      <c r="Q12">
        <f>IF(H12="","",H12*60)</f>
        <v>313.99979999999999</v>
      </c>
      <c r="R12">
        <f>IF(I12="","",I12*60)</f>
        <v>199.99979999999999</v>
      </c>
      <c r="S12">
        <f>IF(J12="","",J12*60)</f>
        <v>547.99980000000005</v>
      </c>
      <c r="T12" s="3">
        <f>ROUND(IF(L12="",AVERAGE(L:L),L12)+IF(M12="",AVERAGE(M:M),M12)+IF(N12="",AVERAGE(N:N),N12)+IF(O12="",AVERAGE(O:O),O12)+IF(P12="",AVERAGE(P:P),P12)+IF(Q12="",AVERAGE(Q:Q),Q12)+IF(R12="",AVERAGE(R:R),R12)+IF(S12="",AVERAGE(S:S),S12), 4-(1+INT(LOG10(ABS(IF(L12="",AVERAGE(L:L),L12)+IF(M12="",AVERAGE(M:M),M12)+IF(N12="",AVERAGE(N:N),N12)+IF(O12="",AVERAGE(O:O),O12)+IF(P12="",AVERAGE(P:P),P12)+IF(Q12="",AVERAGE(Q:Q),Q12)+IF(R12="",AVERAGE(R:R),R12)+IF(S12="",AVERAGE(S:S),S12))))))</f>
        <v>2000</v>
      </c>
    </row>
    <row r="13" spans="1:25" x14ac:dyDescent="0.3">
      <c r="A13" s="1">
        <v>45884.581805555557</v>
      </c>
      <c r="B13">
        <v>1755280668</v>
      </c>
      <c r="C13">
        <v>2.1666599999999998</v>
      </c>
      <c r="D13">
        <v>8.0333299999999994</v>
      </c>
      <c r="E13">
        <v>2.8</v>
      </c>
      <c r="F13">
        <v>1.91666</v>
      </c>
      <c r="G13">
        <v>0.7</v>
      </c>
      <c r="H13">
        <v>5.3333300000000001</v>
      </c>
      <c r="I13">
        <v>3.36666</v>
      </c>
      <c r="J13">
        <v>9.5</v>
      </c>
      <c r="K13" s="2"/>
      <c r="L13">
        <f>IF(C13="","",C13*60)</f>
        <v>129.99959999999999</v>
      </c>
      <c r="M13">
        <f>IF(D13="","",D13*60)</f>
        <v>481.99979999999994</v>
      </c>
      <c r="N13">
        <f>IF(E13="","",E13*60)</f>
        <v>168</v>
      </c>
      <c r="O13">
        <f>IF(F13="","",F13*60)</f>
        <v>114.9996</v>
      </c>
      <c r="P13">
        <f>IF(G13="","",G13*60)</f>
        <v>42</v>
      </c>
      <c r="Q13">
        <f>IF(H13="","",H13*60)</f>
        <v>319.99979999999999</v>
      </c>
      <c r="R13">
        <f>IF(I13="","",I13*60)</f>
        <v>201.99959999999999</v>
      </c>
      <c r="S13">
        <f>IF(J13="","",J13*60)</f>
        <v>570</v>
      </c>
      <c r="T13" s="3">
        <f>ROUND(IF(L13="",AVERAGE(L:L),L13)+IF(M13="",AVERAGE(M:M),M13)+IF(N13="",AVERAGE(N:N),N13)+IF(O13="",AVERAGE(O:O),O13)+IF(P13="",AVERAGE(P:P),P13)+IF(Q13="",AVERAGE(Q:Q),Q13)+IF(R13="",AVERAGE(R:R),R13)+IF(S13="",AVERAGE(S:S),S13), 4-(1+INT(LOG10(ABS(IF(L13="",AVERAGE(L:L),L13)+IF(M13="",AVERAGE(M:M),M13)+IF(N13="",AVERAGE(N:N),N13)+IF(O13="",AVERAGE(O:O),O13)+IF(P13="",AVERAGE(P:P),P13)+IF(Q13="",AVERAGE(Q:Q),Q13)+IF(R13="",AVERAGE(R:R),R13)+IF(S13="",AVERAGE(S:S),S13))))))</f>
        <v>2029</v>
      </c>
    </row>
    <row r="14" spans="1:25" x14ac:dyDescent="0.3">
      <c r="A14" s="1">
        <v>45884.610300925924</v>
      </c>
      <c r="B14">
        <v>1755283130</v>
      </c>
      <c r="C14">
        <v>2.1833300000000002</v>
      </c>
      <c r="D14">
        <v>8.5833300000000001</v>
      </c>
      <c r="E14">
        <v>2.85</v>
      </c>
      <c r="F14">
        <v>1.9</v>
      </c>
      <c r="G14">
        <v>0.7</v>
      </c>
      <c r="H14">
        <v>5.45</v>
      </c>
      <c r="I14">
        <v>3.36666</v>
      </c>
      <c r="J14">
        <v>9.8833300000000008</v>
      </c>
      <c r="K14" s="2"/>
      <c r="L14">
        <f>IF(C14="","",C14*60)</f>
        <v>130.99980000000002</v>
      </c>
      <c r="M14">
        <f>IF(D14="","",D14*60)</f>
        <v>514.99980000000005</v>
      </c>
      <c r="N14">
        <f>IF(E14="","",E14*60)</f>
        <v>171</v>
      </c>
      <c r="O14">
        <f>IF(F14="","",F14*60)</f>
        <v>114</v>
      </c>
      <c r="P14">
        <f>IF(G14="","",G14*60)</f>
        <v>42</v>
      </c>
      <c r="Q14">
        <f>IF(H14="","",H14*60)</f>
        <v>327</v>
      </c>
      <c r="R14">
        <f>IF(I14="","",I14*60)</f>
        <v>201.99959999999999</v>
      </c>
      <c r="S14">
        <f>IF(J14="","",J14*60)</f>
        <v>592.99980000000005</v>
      </c>
      <c r="T14" s="3">
        <f>ROUND(IF(L14="",AVERAGE(L:L),L14)+IF(M14="",AVERAGE(M:M),M14)+IF(N14="",AVERAGE(N:N),N14)+IF(O14="",AVERAGE(O:O),O14)+IF(P14="",AVERAGE(P:P),P14)+IF(Q14="",AVERAGE(Q:Q),Q14)+IF(R14="",AVERAGE(R:R),R14)+IF(S14="",AVERAGE(S:S),S14), 4-(1+INT(LOG10(ABS(IF(L14="",AVERAGE(L:L),L14)+IF(M14="",AVERAGE(M:M),M14)+IF(N14="",AVERAGE(N:N),N14)+IF(O14="",AVERAGE(O:O),O14)+IF(P14="",AVERAGE(P:P),P14)+IF(Q14="",AVERAGE(Q:Q),Q14)+IF(R14="",AVERAGE(R:R),R14)+IF(S14="",AVERAGE(S:S),S14))))))</f>
        <v>2095</v>
      </c>
    </row>
    <row r="15" spans="1:25" x14ac:dyDescent="0.3">
      <c r="A15" s="1">
        <v>45884.638333333336</v>
      </c>
      <c r="B15">
        <v>1755285552</v>
      </c>
      <c r="C15">
        <v>2.11666</v>
      </c>
      <c r="D15">
        <v>8.5833300000000001</v>
      </c>
      <c r="E15">
        <v>3.1333299999999999</v>
      </c>
      <c r="F15">
        <v>1.9</v>
      </c>
      <c r="G15">
        <v>0.7</v>
      </c>
      <c r="H15">
        <v>5.3666600000000004</v>
      </c>
      <c r="I15">
        <v>3.2666599999999999</v>
      </c>
      <c r="J15">
        <v>9.1333300000000008</v>
      </c>
      <c r="K15" s="2"/>
      <c r="L15">
        <f>IF(C15="","",C15*60)</f>
        <v>126.9996</v>
      </c>
      <c r="M15">
        <f>IF(D15="","",D15*60)</f>
        <v>514.99980000000005</v>
      </c>
      <c r="N15">
        <f>IF(E15="","",E15*60)</f>
        <v>187.99979999999999</v>
      </c>
      <c r="O15">
        <f>IF(F15="","",F15*60)</f>
        <v>114</v>
      </c>
      <c r="P15">
        <f>IF(G15="","",G15*60)</f>
        <v>42</v>
      </c>
      <c r="Q15">
        <f>IF(H15="","",H15*60)</f>
        <v>321.99960000000004</v>
      </c>
      <c r="R15">
        <f>IF(I15="","",I15*60)</f>
        <v>195.99959999999999</v>
      </c>
      <c r="S15">
        <f>IF(J15="","",J15*60)</f>
        <v>547.99980000000005</v>
      </c>
      <c r="T15" s="3">
        <f>ROUND(IF(L15="",AVERAGE(L:L),L15)+IF(M15="",AVERAGE(M:M),M15)+IF(N15="",AVERAGE(N:N),N15)+IF(O15="",AVERAGE(O:O),O15)+IF(P15="",AVERAGE(P:P),P15)+IF(Q15="",AVERAGE(Q:Q),Q15)+IF(R15="",AVERAGE(R:R),R15)+IF(S15="",AVERAGE(S:S),S15), 4-(1+INT(LOG10(ABS(IF(L15="",AVERAGE(L:L),L15)+IF(M15="",AVERAGE(M:M),M15)+IF(N15="",AVERAGE(N:N),N15)+IF(O15="",AVERAGE(O:O),O15)+IF(P15="",AVERAGE(P:P),P15)+IF(Q15="",AVERAGE(Q:Q),Q15)+IF(R15="",AVERAGE(R:R),R15)+IF(S15="",AVERAGE(S:S),S15))))))</f>
        <v>2052</v>
      </c>
    </row>
    <row r="16" spans="1:25" x14ac:dyDescent="0.3">
      <c r="A16" s="1">
        <v>45884.663530092592</v>
      </c>
      <c r="B16">
        <v>1755287729</v>
      </c>
      <c r="C16">
        <v>2.75</v>
      </c>
      <c r="E16">
        <v>3.3</v>
      </c>
      <c r="F16">
        <v>2.61666</v>
      </c>
      <c r="G16">
        <v>0.85</v>
      </c>
      <c r="H16">
        <v>6</v>
      </c>
      <c r="I16">
        <v>3.55</v>
      </c>
      <c r="J16">
        <v>9.5500000000000007</v>
      </c>
      <c r="K16" s="2"/>
      <c r="L16">
        <f>IF(C16="","",C16*60)</f>
        <v>165</v>
      </c>
      <c r="M16" t="str">
        <f>IF(D16="","",D16*60)</f>
        <v/>
      </c>
      <c r="N16">
        <f>IF(E16="","",E16*60)</f>
        <v>198</v>
      </c>
      <c r="O16">
        <f>IF(F16="","",F16*60)</f>
        <v>156.99959999999999</v>
      </c>
      <c r="P16">
        <f>IF(G16="","",G16*60)</f>
        <v>51</v>
      </c>
      <c r="Q16">
        <f>IF(H16="","",H16*60)</f>
        <v>360</v>
      </c>
      <c r="R16">
        <f>IF(I16="","",I16*60)</f>
        <v>213</v>
      </c>
      <c r="S16">
        <f>IF(J16="","",J16*60)</f>
        <v>573</v>
      </c>
      <c r="T16" s="3">
        <f>ROUND(IF(L16="",AVERAGE(L:L),L16)+IF(M16="",AVERAGE(M:M),M16)+IF(N16="",AVERAGE(N:N),N16)+IF(O16="",AVERAGE(O:O),O16)+IF(P16="",AVERAGE(P:P),P16)+IF(Q16="",AVERAGE(Q:Q),Q16)+IF(R16="",AVERAGE(R:R),R16)+IF(S16="",AVERAGE(S:S),S16), 4-(1+INT(LOG10(ABS(IF(L16="",AVERAGE(L:L),L16)+IF(M16="",AVERAGE(M:M),M16)+IF(N16="",AVERAGE(N:N),N16)+IF(O16="",AVERAGE(O:O),O16)+IF(P16="",AVERAGE(P:P),P16)+IF(Q16="",AVERAGE(Q:Q),Q16)+IF(R16="",AVERAGE(R:R),R16)+IF(S16="",AVERAGE(S:S),S16))))))</f>
        <v>2210</v>
      </c>
    </row>
    <row r="17" spans="1:20" x14ac:dyDescent="0.3">
      <c r="A17" s="1">
        <v>45884.690023148149</v>
      </c>
      <c r="B17">
        <v>1755290018</v>
      </c>
      <c r="C17">
        <v>2.25</v>
      </c>
      <c r="E17">
        <v>2.9166599999999998</v>
      </c>
      <c r="F17">
        <v>2.7</v>
      </c>
      <c r="G17">
        <v>1</v>
      </c>
      <c r="H17">
        <v>6.05</v>
      </c>
      <c r="I17">
        <v>3.7166600000000001</v>
      </c>
      <c r="J17">
        <v>10.066660000000001</v>
      </c>
      <c r="K17" s="2"/>
      <c r="L17">
        <f>IF(C17="","",C17*60)</f>
        <v>135</v>
      </c>
      <c r="M17" t="str">
        <f>IF(D17="","",D17*60)</f>
        <v/>
      </c>
      <c r="N17">
        <f>IF(E17="","",E17*60)</f>
        <v>174.99959999999999</v>
      </c>
      <c r="O17">
        <f>IF(F17="","",F17*60)</f>
        <v>162</v>
      </c>
      <c r="P17">
        <f>IF(G17="","",G17*60)</f>
        <v>60</v>
      </c>
      <c r="Q17">
        <f>IF(H17="","",H17*60)</f>
        <v>363</v>
      </c>
      <c r="R17">
        <f>IF(I17="","",I17*60)</f>
        <v>222.99960000000002</v>
      </c>
      <c r="S17">
        <f>IF(J17="","",J17*60)</f>
        <v>603.99959999999999</v>
      </c>
      <c r="T17" s="3">
        <f>ROUND(IF(L17="",AVERAGE(L:L),L17)+IF(M17="",AVERAGE(M:M),M17)+IF(N17="",AVERAGE(N:N),N17)+IF(O17="",AVERAGE(O:O),O17)+IF(P17="",AVERAGE(P:P),P17)+IF(Q17="",AVERAGE(Q:Q),Q17)+IF(R17="",AVERAGE(R:R),R17)+IF(S17="",AVERAGE(S:S),S17), 4-(1+INT(LOG10(ABS(IF(L17="",AVERAGE(L:L),L17)+IF(M17="",AVERAGE(M:M),M17)+IF(N17="",AVERAGE(N:N),N17)+IF(O17="",AVERAGE(O:O),O17)+IF(P17="",AVERAGE(P:P),P17)+IF(Q17="",AVERAGE(Q:Q),Q17)+IF(R17="",AVERAGE(R:R),R17)+IF(S17="",AVERAGE(S:S),S17))))))</f>
        <v>2215</v>
      </c>
    </row>
    <row r="18" spans="1:20" x14ac:dyDescent="0.3">
      <c r="A18" s="1">
        <v>45884.769791666666</v>
      </c>
      <c r="B18">
        <v>1755296910</v>
      </c>
      <c r="C18">
        <v>2.6333299999999999</v>
      </c>
      <c r="D18">
        <v>8.3333300000000001</v>
      </c>
      <c r="E18">
        <v>3.2833299999999999</v>
      </c>
      <c r="F18">
        <v>2.7666599999999999</v>
      </c>
      <c r="G18">
        <v>0.71665999999999996</v>
      </c>
      <c r="H18">
        <v>6.6166600000000004</v>
      </c>
      <c r="I18">
        <v>3.8</v>
      </c>
      <c r="K18" s="2"/>
      <c r="L18">
        <f>IF(C18="","",C18*60)</f>
        <v>157.99979999999999</v>
      </c>
      <c r="M18">
        <f>IF(D18="","",D18*60)</f>
        <v>499.99979999999999</v>
      </c>
      <c r="N18">
        <f>IF(E18="","",E18*60)</f>
        <v>196.99979999999999</v>
      </c>
      <c r="O18">
        <f>IF(F18="","",F18*60)</f>
        <v>165.99959999999999</v>
      </c>
      <c r="P18">
        <f>IF(G18="","",G18*60)</f>
        <v>42.999600000000001</v>
      </c>
      <c r="Q18">
        <f>IF(H18="","",H18*60)</f>
        <v>396.99960000000004</v>
      </c>
      <c r="R18">
        <f>IF(I18="","",I18*60)</f>
        <v>228</v>
      </c>
      <c r="S18" t="str">
        <f>IF(J18="","",J18*60)</f>
        <v/>
      </c>
      <c r="T18" s="3">
        <f>ROUND(IF(L18="",AVERAGE(L:L),L18)+IF(M18="",AVERAGE(M:M),M18)+IF(N18="",AVERAGE(N:N),N18)+IF(O18="",AVERAGE(O:O),O18)+IF(P18="",AVERAGE(P:P),P18)+IF(Q18="",AVERAGE(Q:Q),Q18)+IF(R18="",AVERAGE(R:R),R18)+IF(S18="",AVERAGE(S:S),S18), 4-(1+INT(LOG10(ABS(IF(L18="",AVERAGE(L:L),L18)+IF(M18="",AVERAGE(M:M),M18)+IF(N18="",AVERAGE(N:N),N18)+IF(O18="",AVERAGE(O:O),O18)+IF(P18="",AVERAGE(P:P),P18)+IF(Q18="",AVERAGE(Q:Q),Q18)+IF(R18="",AVERAGE(R:R),R18)+IF(S18="",AVERAGE(S:S),S18))))))</f>
        <v>2256</v>
      </c>
    </row>
    <row r="19" spans="1:20" x14ac:dyDescent="0.3">
      <c r="A19" s="1">
        <v>45884.797164351854</v>
      </c>
      <c r="B19">
        <v>1755299275</v>
      </c>
      <c r="C19">
        <v>2.15</v>
      </c>
      <c r="D19">
        <v>7.6</v>
      </c>
      <c r="E19">
        <v>3.1666599999999998</v>
      </c>
      <c r="F19">
        <v>1.93333</v>
      </c>
      <c r="G19">
        <v>0.7</v>
      </c>
      <c r="H19">
        <v>5.5833300000000001</v>
      </c>
      <c r="I19">
        <v>3.3166600000000002</v>
      </c>
      <c r="J19">
        <v>9.1166599999999995</v>
      </c>
      <c r="K19" s="2"/>
      <c r="L19">
        <f>IF(C19="","",C19*60)</f>
        <v>129</v>
      </c>
      <c r="M19">
        <f>IF(D19="","",D19*60)</f>
        <v>456</v>
      </c>
      <c r="N19">
        <f>IF(E19="","",E19*60)</f>
        <v>189.99959999999999</v>
      </c>
      <c r="O19">
        <f>IF(F19="","",F19*60)</f>
        <v>115.99979999999999</v>
      </c>
      <c r="P19">
        <f>IF(G19="","",G19*60)</f>
        <v>42</v>
      </c>
      <c r="Q19">
        <f>IF(H19="","",H19*60)</f>
        <v>334.99979999999999</v>
      </c>
      <c r="R19">
        <f>IF(I19="","",I19*60)</f>
        <v>198.99960000000002</v>
      </c>
      <c r="S19">
        <f>IF(J19="","",J19*60)</f>
        <v>546.99959999999999</v>
      </c>
      <c r="T19" s="3">
        <f>ROUND(IF(L19="",AVERAGE(L:L),L19)+IF(M19="",AVERAGE(M:M),M19)+IF(N19="",AVERAGE(N:N),N19)+IF(O19="",AVERAGE(O:O),O19)+IF(P19="",AVERAGE(P:P),P19)+IF(Q19="",AVERAGE(Q:Q),Q19)+IF(R19="",AVERAGE(R:R),R19)+IF(S19="",AVERAGE(S:S),S19), 4-(1+INT(LOG10(ABS(IF(L19="",AVERAGE(L:L),L19)+IF(M19="",AVERAGE(M:M),M19)+IF(N19="",AVERAGE(N:N),N19)+IF(O19="",AVERAGE(O:O),O19)+IF(P19="",AVERAGE(P:P),P19)+IF(Q19="",AVERAGE(Q:Q),Q19)+IF(R19="",AVERAGE(R:R),R19)+IF(S19="",AVERAGE(S:S),S19))))))</f>
        <v>2014</v>
      </c>
    </row>
    <row r="20" spans="1:20" x14ac:dyDescent="0.3">
      <c r="A20" s="1">
        <v>45884.824525462966</v>
      </c>
      <c r="B20">
        <v>1755301639</v>
      </c>
      <c r="C20">
        <v>2.1666599999999998</v>
      </c>
      <c r="D20">
        <v>7.5833300000000001</v>
      </c>
      <c r="E20">
        <v>3.1333299999999999</v>
      </c>
      <c r="F20">
        <v>2.3166600000000002</v>
      </c>
      <c r="G20">
        <v>0.7</v>
      </c>
      <c r="H20">
        <v>5.3833299999999999</v>
      </c>
      <c r="I20">
        <v>3.3</v>
      </c>
      <c r="J20">
        <v>8.8666599999999995</v>
      </c>
      <c r="K20" s="2"/>
      <c r="L20">
        <f>IF(C20="","",C20*60)</f>
        <v>129.99959999999999</v>
      </c>
      <c r="M20">
        <f>IF(D20="","",D20*60)</f>
        <v>454.99979999999999</v>
      </c>
      <c r="N20">
        <f>IF(E20="","",E20*60)</f>
        <v>187.99979999999999</v>
      </c>
      <c r="O20">
        <f>IF(F20="","",F20*60)</f>
        <v>138.99960000000002</v>
      </c>
      <c r="P20">
        <f>IF(G20="","",G20*60)</f>
        <v>42</v>
      </c>
      <c r="Q20">
        <f>IF(H20="","",H20*60)</f>
        <v>322.99979999999999</v>
      </c>
      <c r="R20">
        <f>IF(I20="","",I20*60)</f>
        <v>198</v>
      </c>
      <c r="S20">
        <f>IF(J20="","",J20*60)</f>
        <v>531.99959999999999</v>
      </c>
      <c r="T20" s="3">
        <f>ROUND(IF(L20="",AVERAGE(L:L),L20)+IF(M20="",AVERAGE(M:M),M20)+IF(N20="",AVERAGE(N:N),N20)+IF(O20="",AVERAGE(O:O),O20)+IF(P20="",AVERAGE(P:P),P20)+IF(Q20="",AVERAGE(Q:Q),Q20)+IF(R20="",AVERAGE(R:R),R20)+IF(S20="",AVERAGE(S:S),S20), 4-(1+INT(LOG10(ABS(IF(L20="",AVERAGE(L:L),L20)+IF(M20="",AVERAGE(M:M),M20)+IF(N20="",AVERAGE(N:N),N20)+IF(O20="",AVERAGE(O:O),O20)+IF(P20="",AVERAGE(P:P),P20)+IF(Q20="",AVERAGE(Q:Q),Q20)+IF(R20="",AVERAGE(R:R),R20)+IF(S20="",AVERAGE(S:S),S20))))))</f>
        <v>2007</v>
      </c>
    </row>
    <row r="21" spans="1:20" x14ac:dyDescent="0.3">
      <c r="A21" s="1">
        <v>45884.851979166669</v>
      </c>
      <c r="B21">
        <v>1755304011</v>
      </c>
      <c r="C21">
        <v>2.2666599999999999</v>
      </c>
      <c r="D21">
        <v>8.1833299999999998</v>
      </c>
      <c r="E21">
        <v>2.95</v>
      </c>
      <c r="F21">
        <v>1.9</v>
      </c>
      <c r="G21">
        <v>0.7</v>
      </c>
      <c r="H21">
        <v>5.2</v>
      </c>
      <c r="I21">
        <v>3.4</v>
      </c>
      <c r="J21">
        <v>8.8833300000000008</v>
      </c>
      <c r="K21" s="2"/>
      <c r="L21">
        <f>IF(C21="","",C21*60)</f>
        <v>135.99959999999999</v>
      </c>
      <c r="M21">
        <f>IF(D21="","",D21*60)</f>
        <v>490.99979999999999</v>
      </c>
      <c r="N21">
        <f>IF(E21="","",E21*60)</f>
        <v>177</v>
      </c>
      <c r="O21">
        <f>IF(F21="","",F21*60)</f>
        <v>114</v>
      </c>
      <c r="P21">
        <f>IF(G21="","",G21*60)</f>
        <v>42</v>
      </c>
      <c r="Q21">
        <f>IF(H21="","",H21*60)</f>
        <v>312</v>
      </c>
      <c r="R21">
        <f>IF(I21="","",I21*60)</f>
        <v>204</v>
      </c>
      <c r="S21">
        <f>IF(J21="","",J21*60)</f>
        <v>532.99980000000005</v>
      </c>
      <c r="T21" s="3">
        <f>ROUND(IF(L21="",AVERAGE(L:L),L21)+IF(M21="",AVERAGE(M:M),M21)+IF(N21="",AVERAGE(N:N),N21)+IF(O21="",AVERAGE(O:O),O21)+IF(P21="",AVERAGE(P:P),P21)+IF(Q21="",AVERAGE(Q:Q),Q21)+IF(R21="",AVERAGE(R:R),R21)+IF(S21="",AVERAGE(S:S),S21), 4-(1+INT(LOG10(ABS(IF(L21="",AVERAGE(L:L),L21)+IF(M21="",AVERAGE(M:M),M21)+IF(N21="",AVERAGE(N:N),N21)+IF(O21="",AVERAGE(O:O),O21)+IF(P21="",AVERAGE(P:P),P21)+IF(Q21="",AVERAGE(Q:Q),Q21)+IF(R21="",AVERAGE(R:R),R21)+IF(S21="",AVERAGE(S:S),S21))))))</f>
        <v>2009</v>
      </c>
    </row>
    <row r="22" spans="1:20" x14ac:dyDescent="0.3">
      <c r="A22" s="1">
        <v>45884.879930555559</v>
      </c>
      <c r="B22">
        <v>1755306426</v>
      </c>
      <c r="C22">
        <v>2.15</v>
      </c>
      <c r="D22">
        <v>8.25</v>
      </c>
      <c r="E22">
        <v>2.75</v>
      </c>
      <c r="F22">
        <v>1.86666</v>
      </c>
      <c r="G22">
        <v>0.8</v>
      </c>
      <c r="H22">
        <v>5.35</v>
      </c>
      <c r="I22">
        <v>3.2833299999999999</v>
      </c>
      <c r="J22">
        <v>9.8833300000000008</v>
      </c>
      <c r="K22" s="2"/>
      <c r="L22">
        <f>IF(C22="","",C22*60)</f>
        <v>129</v>
      </c>
      <c r="M22">
        <f>IF(D22="","",D22*60)</f>
        <v>495</v>
      </c>
      <c r="N22">
        <f>IF(E22="","",E22*60)</f>
        <v>165</v>
      </c>
      <c r="O22">
        <f>IF(F22="","",F22*60)</f>
        <v>111.9996</v>
      </c>
      <c r="P22">
        <f>IF(G22="","",G22*60)</f>
        <v>48</v>
      </c>
      <c r="Q22">
        <f>IF(H22="","",H22*60)</f>
        <v>321</v>
      </c>
      <c r="R22">
        <f>IF(I22="","",I22*60)</f>
        <v>196.99979999999999</v>
      </c>
      <c r="S22">
        <f>IF(J22="","",J22*60)</f>
        <v>592.99980000000005</v>
      </c>
      <c r="T22" s="3">
        <f>ROUND(IF(L22="",AVERAGE(L:L),L22)+IF(M22="",AVERAGE(M:M),M22)+IF(N22="",AVERAGE(N:N),N22)+IF(O22="",AVERAGE(O:O),O22)+IF(P22="",AVERAGE(P:P),P22)+IF(Q22="",AVERAGE(Q:Q),Q22)+IF(R22="",AVERAGE(R:R),R22)+IF(S22="",AVERAGE(S:S),S22), 4-(1+INT(LOG10(ABS(IF(L22="",AVERAGE(L:L),L22)+IF(M22="",AVERAGE(M:M),M22)+IF(N22="",AVERAGE(N:N),N22)+IF(O22="",AVERAGE(O:O),O22)+IF(P22="",AVERAGE(P:P),P22)+IF(Q22="",AVERAGE(Q:Q),Q22)+IF(R22="",AVERAGE(R:R),R22)+IF(S22="",AVERAGE(S:S),S22))))))</f>
        <v>2060</v>
      </c>
    </row>
    <row r="23" spans="1:20" x14ac:dyDescent="0.3">
      <c r="A23" s="1">
        <v>45884.909942129627</v>
      </c>
      <c r="B23">
        <v>1755309019</v>
      </c>
      <c r="C23">
        <v>2.8</v>
      </c>
      <c r="D23">
        <v>8.6833299999999998</v>
      </c>
      <c r="E23">
        <v>3.1833300000000002</v>
      </c>
      <c r="F23">
        <v>2.7</v>
      </c>
      <c r="G23">
        <v>1.0166599999999999</v>
      </c>
      <c r="H23">
        <v>5.3</v>
      </c>
      <c r="I23">
        <v>3.3166600000000002</v>
      </c>
      <c r="J23">
        <v>9.5500000000000007</v>
      </c>
      <c r="K23" s="2"/>
      <c r="L23">
        <f>IF(C23="","",C23*60)</f>
        <v>168</v>
      </c>
      <c r="M23">
        <f>IF(D23="","",D23*60)</f>
        <v>520.99979999999994</v>
      </c>
      <c r="N23">
        <f>IF(E23="","",E23*60)</f>
        <v>190.99980000000002</v>
      </c>
      <c r="O23">
        <f>IF(F23="","",F23*60)</f>
        <v>162</v>
      </c>
      <c r="P23">
        <f>IF(G23="","",G23*60)</f>
        <v>60.999599999999994</v>
      </c>
      <c r="Q23">
        <f>IF(H23="","",H23*60)</f>
        <v>318</v>
      </c>
      <c r="R23">
        <f>IF(I23="","",I23*60)</f>
        <v>198.99960000000002</v>
      </c>
      <c r="S23">
        <f>IF(J23="","",J23*60)</f>
        <v>573</v>
      </c>
      <c r="T23" s="3">
        <f>ROUND(IF(L23="",AVERAGE(L:L),L23)+IF(M23="",AVERAGE(M:M),M23)+IF(N23="",AVERAGE(N:N),N23)+IF(O23="",AVERAGE(O:O),O23)+IF(P23="",AVERAGE(P:P),P23)+IF(Q23="",AVERAGE(Q:Q),Q23)+IF(R23="",AVERAGE(R:R),R23)+IF(S23="",AVERAGE(S:S),S23), 4-(1+INT(LOG10(ABS(IF(L23="",AVERAGE(L:L),L23)+IF(M23="",AVERAGE(M:M),M23)+IF(N23="",AVERAGE(N:N),N23)+IF(O23="",AVERAGE(O:O),O23)+IF(P23="",AVERAGE(P:P),P23)+IF(Q23="",AVERAGE(Q:Q),Q23)+IF(R23="",AVERAGE(R:R),R23)+IF(S23="",AVERAGE(S:S),S23))))))</f>
        <v>2193</v>
      </c>
    </row>
    <row r="24" spans="1:20" x14ac:dyDescent="0.3">
      <c r="A24" s="1">
        <v>45884.941087962965</v>
      </c>
      <c r="B24">
        <v>1755311710</v>
      </c>
      <c r="C24">
        <v>2.5666600000000002</v>
      </c>
      <c r="D24">
        <v>9.5666600000000006</v>
      </c>
      <c r="E24">
        <v>3.35</v>
      </c>
      <c r="F24">
        <v>2.25</v>
      </c>
      <c r="G24">
        <v>0.93332999999999999</v>
      </c>
      <c r="H24">
        <v>6.2166600000000001</v>
      </c>
      <c r="I24">
        <v>3.7</v>
      </c>
      <c r="J24">
        <v>9.8833300000000008</v>
      </c>
      <c r="K24" s="2"/>
      <c r="L24">
        <f>IF(C24="","",C24*60)</f>
        <v>153.99960000000002</v>
      </c>
      <c r="M24">
        <f>IF(D24="","",D24*60)</f>
        <v>573.99959999999999</v>
      </c>
      <c r="N24">
        <f>IF(E24="","",E24*60)</f>
        <v>201</v>
      </c>
      <c r="O24">
        <f>IF(F24="","",F24*60)</f>
        <v>135</v>
      </c>
      <c r="P24">
        <f>IF(G24="","",G24*60)</f>
        <v>55.9998</v>
      </c>
      <c r="Q24">
        <f>IF(H24="","",H24*60)</f>
        <v>372.99959999999999</v>
      </c>
      <c r="R24">
        <f>IF(I24="","",I24*60)</f>
        <v>222</v>
      </c>
      <c r="S24">
        <f>IF(J24="","",J24*60)</f>
        <v>592.99980000000005</v>
      </c>
      <c r="T24" s="3">
        <f>ROUND(IF(L24="",AVERAGE(L:L),L24)+IF(M24="",AVERAGE(M:M),M24)+IF(N24="",AVERAGE(N:N),N24)+IF(O24="",AVERAGE(O:O),O24)+IF(P24="",AVERAGE(P:P),P24)+IF(Q24="",AVERAGE(Q:Q),Q24)+IF(R24="",AVERAGE(R:R),R24)+IF(S24="",AVERAGE(S:S),S24), 4-(1+INT(LOG10(ABS(IF(L24="",AVERAGE(L:L),L24)+IF(M24="",AVERAGE(M:M),M24)+IF(N24="",AVERAGE(N:N),N24)+IF(O24="",AVERAGE(O:O),O24)+IF(P24="",AVERAGE(P:P),P24)+IF(Q24="",AVERAGE(Q:Q),Q24)+IF(R24="",AVERAGE(R:R),R24)+IF(S24="",AVERAGE(S:S),S24))))))</f>
        <v>2308</v>
      </c>
    </row>
    <row r="25" spans="1:20" x14ac:dyDescent="0.3">
      <c r="A25" s="1">
        <v>45884.972754629627</v>
      </c>
      <c r="B25">
        <v>1755314446</v>
      </c>
      <c r="C25">
        <v>2.98333</v>
      </c>
      <c r="D25">
        <v>8.5833300000000001</v>
      </c>
      <c r="E25">
        <v>3.7666599999999999</v>
      </c>
      <c r="F25">
        <v>2.2999999999999998</v>
      </c>
      <c r="G25">
        <v>0.78332999999999997</v>
      </c>
      <c r="H25">
        <v>5.2666599999999999</v>
      </c>
      <c r="I25">
        <v>3.4166599999999998</v>
      </c>
      <c r="J25">
        <v>11.43333</v>
      </c>
      <c r="K25" s="2"/>
      <c r="L25">
        <f>IF(C25="","",C25*60)</f>
        <v>178.99979999999999</v>
      </c>
      <c r="M25">
        <f>IF(D25="","",D25*60)</f>
        <v>514.99980000000005</v>
      </c>
      <c r="N25">
        <f>IF(E25="","",E25*60)</f>
        <v>225.99959999999999</v>
      </c>
      <c r="O25">
        <f>IF(F25="","",F25*60)</f>
        <v>138</v>
      </c>
      <c r="P25">
        <f>IF(G25="","",G25*60)</f>
        <v>46.9998</v>
      </c>
      <c r="Q25">
        <f>IF(H25="","",H25*60)</f>
        <v>315.99959999999999</v>
      </c>
      <c r="R25">
        <f>IF(I25="","",I25*60)</f>
        <v>204.99959999999999</v>
      </c>
      <c r="S25">
        <f>IF(J25="","",J25*60)</f>
        <v>685.99979999999994</v>
      </c>
      <c r="T25" s="3">
        <f>ROUND(IF(L25="",AVERAGE(L:L),L25)+IF(M25="",AVERAGE(M:M),M25)+IF(N25="",AVERAGE(N:N),N25)+IF(O25="",AVERAGE(O:O),O25)+IF(P25="",AVERAGE(P:P),P25)+IF(Q25="",AVERAGE(Q:Q),Q25)+IF(R25="",AVERAGE(R:R),R25)+IF(S25="",AVERAGE(S:S),S25), 4-(1+INT(LOG10(ABS(IF(L25="",AVERAGE(L:L),L25)+IF(M25="",AVERAGE(M:M),M25)+IF(N25="",AVERAGE(N:N),N25)+IF(O25="",AVERAGE(O:O),O25)+IF(P25="",AVERAGE(P:P),P25)+IF(Q25="",AVERAGE(Q:Q),Q25)+IF(R25="",AVERAGE(R:R),R25)+IF(S25="",AVERAGE(S:S),S25))))))</f>
        <v>2312</v>
      </c>
    </row>
    <row r="26" spans="1:20" x14ac:dyDescent="0.3">
      <c r="A26" s="1">
        <v>45885.001064814816</v>
      </c>
      <c r="B26">
        <v>1755316892</v>
      </c>
      <c r="C26">
        <v>2.1666599999999998</v>
      </c>
      <c r="D26">
        <v>8.65</v>
      </c>
      <c r="E26">
        <v>2.7666599999999999</v>
      </c>
      <c r="F26">
        <v>2.2833299999999999</v>
      </c>
      <c r="G26">
        <v>0.7</v>
      </c>
      <c r="H26">
        <v>4.9833299999999996</v>
      </c>
      <c r="I26">
        <v>3.25</v>
      </c>
      <c r="J26">
        <v>9.7666599999999999</v>
      </c>
      <c r="K26" s="2"/>
      <c r="L26">
        <f>IF(C26="","",C26*60)</f>
        <v>129.99959999999999</v>
      </c>
      <c r="M26">
        <f>IF(D26="","",D26*60)</f>
        <v>519</v>
      </c>
      <c r="N26">
        <f>IF(E26="","",E26*60)</f>
        <v>165.99959999999999</v>
      </c>
      <c r="O26">
        <f>IF(F26="","",F26*60)</f>
        <v>136.99979999999999</v>
      </c>
      <c r="P26">
        <f>IF(G26="","",G26*60)</f>
        <v>42</v>
      </c>
      <c r="Q26">
        <f>IF(H26="","",H26*60)</f>
        <v>298.99979999999999</v>
      </c>
      <c r="R26">
        <f>IF(I26="","",I26*60)</f>
        <v>195</v>
      </c>
      <c r="S26">
        <f>IF(J26="","",J26*60)</f>
        <v>585.99959999999999</v>
      </c>
      <c r="T26" s="3">
        <f>ROUND(IF(L26="",AVERAGE(L:L),L26)+IF(M26="",AVERAGE(M:M),M26)+IF(N26="",AVERAGE(N:N),N26)+IF(O26="",AVERAGE(O:O),O26)+IF(P26="",AVERAGE(P:P),P26)+IF(Q26="",AVERAGE(Q:Q),Q26)+IF(R26="",AVERAGE(R:R),R26)+IF(S26="",AVERAGE(S:S),S26), 4-(1+INT(LOG10(ABS(IF(L26="",AVERAGE(L:L),L26)+IF(M26="",AVERAGE(M:M),M26)+IF(N26="",AVERAGE(N:N),N26)+IF(O26="",AVERAGE(O:O),O26)+IF(P26="",AVERAGE(P:P),P26)+IF(Q26="",AVERAGE(Q:Q),Q26)+IF(R26="",AVERAGE(R:R),R26)+IF(S26="",AVERAGE(S:S),S26))))))</f>
        <v>2074</v>
      </c>
    </row>
    <row r="27" spans="1:20" x14ac:dyDescent="0.3">
      <c r="A27" s="1">
        <v>45885.030081018522</v>
      </c>
      <c r="B27">
        <v>1755319399</v>
      </c>
      <c r="C27">
        <v>2.11666</v>
      </c>
      <c r="D27">
        <v>8.4166600000000003</v>
      </c>
      <c r="E27">
        <v>2.7666599999999999</v>
      </c>
      <c r="F27">
        <v>3.3333300000000001</v>
      </c>
      <c r="G27">
        <v>0.71665999999999996</v>
      </c>
      <c r="H27">
        <v>5.2333299999999996</v>
      </c>
      <c r="I27">
        <v>3.36666</v>
      </c>
      <c r="J27">
        <v>9.6</v>
      </c>
      <c r="K27" s="2"/>
      <c r="L27">
        <f>IF(C27="","",C27*60)</f>
        <v>126.9996</v>
      </c>
      <c r="M27">
        <f>IF(D27="","",D27*60)</f>
        <v>504.99959999999999</v>
      </c>
      <c r="N27">
        <f>IF(E27="","",E27*60)</f>
        <v>165.99959999999999</v>
      </c>
      <c r="O27">
        <f>IF(F27="","",F27*60)</f>
        <v>199.99979999999999</v>
      </c>
      <c r="P27">
        <f>IF(G27="","",G27*60)</f>
        <v>42.999600000000001</v>
      </c>
      <c r="Q27">
        <f>IF(H27="","",H27*60)</f>
        <v>313.99979999999999</v>
      </c>
      <c r="R27">
        <f>IF(I27="","",I27*60)</f>
        <v>201.99959999999999</v>
      </c>
      <c r="S27">
        <f>IF(J27="","",J27*60)</f>
        <v>576</v>
      </c>
      <c r="T27" s="3">
        <f>ROUND(IF(L27="",AVERAGE(L:L),L27)+IF(M27="",AVERAGE(M:M),M27)+IF(N27="",AVERAGE(N:N),N27)+IF(O27="",AVERAGE(O:O),O27)+IF(P27="",AVERAGE(P:P),P27)+IF(Q27="",AVERAGE(Q:Q),Q27)+IF(R27="",AVERAGE(R:R),R27)+IF(S27="",AVERAGE(S:S),S27), 4-(1+INT(LOG10(ABS(IF(L27="",AVERAGE(L:L),L27)+IF(M27="",AVERAGE(M:M),M27)+IF(N27="",AVERAGE(N:N),N27)+IF(O27="",AVERAGE(O:O),O27)+IF(P27="",AVERAGE(P:P),P27)+IF(Q27="",AVERAGE(Q:Q),Q27)+IF(R27="",AVERAGE(R:R),R27)+IF(S27="",AVERAGE(S:S),S27))))))</f>
        <v>2133</v>
      </c>
    </row>
    <row r="28" spans="1:20" x14ac:dyDescent="0.3">
      <c r="A28" s="1">
        <v>45885.058067129627</v>
      </c>
      <c r="B28">
        <v>1755321817</v>
      </c>
      <c r="C28">
        <v>2.11666</v>
      </c>
      <c r="D28">
        <v>8.65</v>
      </c>
      <c r="E28">
        <v>2.7666599999999999</v>
      </c>
      <c r="F28">
        <v>1.9</v>
      </c>
      <c r="G28">
        <v>0.7</v>
      </c>
      <c r="H28">
        <v>5.3166599999999997</v>
      </c>
      <c r="I28">
        <v>3.3</v>
      </c>
      <c r="J28">
        <v>9.3000000000000007</v>
      </c>
      <c r="K28" s="2"/>
      <c r="L28">
        <f>IF(C28="","",C28*60)</f>
        <v>126.9996</v>
      </c>
      <c r="M28">
        <f>IF(D28="","",D28*60)</f>
        <v>519</v>
      </c>
      <c r="N28">
        <f>IF(E28="","",E28*60)</f>
        <v>165.99959999999999</v>
      </c>
      <c r="O28">
        <f>IF(F28="","",F28*60)</f>
        <v>114</v>
      </c>
      <c r="P28">
        <f>IF(G28="","",G28*60)</f>
        <v>42</v>
      </c>
      <c r="Q28">
        <f>IF(H28="","",H28*60)</f>
        <v>318.99959999999999</v>
      </c>
      <c r="R28">
        <f>IF(I28="","",I28*60)</f>
        <v>198</v>
      </c>
      <c r="S28">
        <f>IF(J28="","",J28*60)</f>
        <v>558</v>
      </c>
      <c r="T28" s="3">
        <f>ROUND(IF(L28="",AVERAGE(L:L),L28)+IF(M28="",AVERAGE(M:M),M28)+IF(N28="",AVERAGE(N:N),N28)+IF(O28="",AVERAGE(O:O),O28)+IF(P28="",AVERAGE(P:P),P28)+IF(Q28="",AVERAGE(Q:Q),Q28)+IF(R28="",AVERAGE(R:R),R28)+IF(S28="",AVERAGE(S:S),S28), 4-(1+INT(LOG10(ABS(IF(L28="",AVERAGE(L:L),L28)+IF(M28="",AVERAGE(M:M),M28)+IF(N28="",AVERAGE(N:N),N28)+IF(O28="",AVERAGE(O:O),O28)+IF(P28="",AVERAGE(P:P),P28)+IF(Q28="",AVERAGE(Q:Q),Q28)+IF(R28="",AVERAGE(R:R),R28)+IF(S28="",AVERAGE(S:S),S28))))))</f>
        <v>2043</v>
      </c>
    </row>
    <row r="29" spans="1:20" x14ac:dyDescent="0.3">
      <c r="A29" s="1">
        <v>45885.086284722223</v>
      </c>
      <c r="B29">
        <v>1755324255</v>
      </c>
      <c r="C29">
        <v>2.2166600000000001</v>
      </c>
      <c r="D29">
        <v>8.4</v>
      </c>
      <c r="E29">
        <v>3.23333</v>
      </c>
      <c r="F29">
        <v>1.91666</v>
      </c>
      <c r="G29">
        <v>0.71665999999999996</v>
      </c>
      <c r="H29">
        <v>5.2666599999999999</v>
      </c>
      <c r="I29">
        <v>3.4666600000000001</v>
      </c>
      <c r="J29">
        <v>9.3166600000000006</v>
      </c>
      <c r="K29" s="2"/>
      <c r="L29">
        <f>IF(C29="","",C29*60)</f>
        <v>132.99960000000002</v>
      </c>
      <c r="M29">
        <f>IF(D29="","",D29*60)</f>
        <v>504</v>
      </c>
      <c r="N29">
        <f>IF(E29="","",E29*60)</f>
        <v>193.99979999999999</v>
      </c>
      <c r="O29">
        <f>IF(F29="","",F29*60)</f>
        <v>114.9996</v>
      </c>
      <c r="P29">
        <f>IF(G29="","",G29*60)</f>
        <v>42.999600000000001</v>
      </c>
      <c r="Q29">
        <f>IF(H29="","",H29*60)</f>
        <v>315.99959999999999</v>
      </c>
      <c r="R29">
        <f>IF(I29="","",I29*60)</f>
        <v>207.99960000000002</v>
      </c>
      <c r="S29">
        <f>IF(J29="","",J29*60)</f>
        <v>558.99959999999999</v>
      </c>
      <c r="T29" s="3">
        <f>ROUND(IF(L29="",AVERAGE(L:L),L29)+IF(M29="",AVERAGE(M:M),M29)+IF(N29="",AVERAGE(N:N),N29)+IF(O29="",AVERAGE(O:O),O29)+IF(P29="",AVERAGE(P:P),P29)+IF(Q29="",AVERAGE(Q:Q),Q29)+IF(R29="",AVERAGE(R:R),R29)+IF(S29="",AVERAGE(S:S),S29), 4-(1+INT(LOG10(ABS(IF(L29="",AVERAGE(L:L),L29)+IF(M29="",AVERAGE(M:M),M29)+IF(N29="",AVERAGE(N:N),N29)+IF(O29="",AVERAGE(O:O),O29)+IF(P29="",AVERAGE(P:P),P29)+IF(Q29="",AVERAGE(Q:Q),Q29)+IF(R29="",AVERAGE(R:R),R29)+IF(S29="",AVERAGE(S:S),S29))))))</f>
        <v>2072</v>
      </c>
    </row>
    <row r="30" spans="1:20" x14ac:dyDescent="0.3">
      <c r="A30" s="1">
        <v>45885.110486111109</v>
      </c>
      <c r="B30">
        <v>1755326346</v>
      </c>
      <c r="C30">
        <v>2.11666</v>
      </c>
      <c r="E30">
        <v>2.7833299999999999</v>
      </c>
      <c r="F30">
        <v>1.8833299999999999</v>
      </c>
      <c r="G30">
        <v>0.68332999999999999</v>
      </c>
      <c r="H30">
        <v>5.2333299999999996</v>
      </c>
      <c r="I30">
        <v>3.2666599999999999</v>
      </c>
      <c r="J30">
        <v>9.3666599999999995</v>
      </c>
      <c r="K30" s="2"/>
      <c r="L30">
        <f>IF(C30="","",C30*60)</f>
        <v>126.9996</v>
      </c>
      <c r="M30" t="str">
        <f>IF(D30="","",D30*60)</f>
        <v/>
      </c>
      <c r="N30">
        <f>IF(E30="","",E30*60)</f>
        <v>166.99979999999999</v>
      </c>
      <c r="O30">
        <f>IF(F30="","",F30*60)</f>
        <v>112.99979999999999</v>
      </c>
      <c r="P30">
        <f>IF(G30="","",G30*60)</f>
        <v>40.9998</v>
      </c>
      <c r="Q30">
        <f>IF(H30="","",H30*60)</f>
        <v>313.99979999999999</v>
      </c>
      <c r="R30">
        <f>IF(I30="","",I30*60)</f>
        <v>195.99959999999999</v>
      </c>
      <c r="S30">
        <f>IF(J30="","",J30*60)</f>
        <v>561.99959999999999</v>
      </c>
      <c r="T30" s="3">
        <f>ROUND(IF(L30="",AVERAGE(L:L),L30)+IF(M30="",AVERAGE(M:M),M30)+IF(N30="",AVERAGE(N:N),N30)+IF(O30="",AVERAGE(O:O),O30)+IF(P30="",AVERAGE(P:P),P30)+IF(Q30="",AVERAGE(Q:Q),Q30)+IF(R30="",AVERAGE(R:R),R30)+IF(S30="",AVERAGE(S:S),S30), 4-(1+INT(LOG10(ABS(IF(L30="",AVERAGE(L:L),L30)+IF(M30="",AVERAGE(M:M),M30)+IF(N30="",AVERAGE(N:N),N30)+IF(O30="",AVERAGE(O:O),O30)+IF(P30="",AVERAGE(P:P),P30)+IF(Q30="",AVERAGE(Q:Q),Q30)+IF(R30="",AVERAGE(R:R),R30)+IF(S30="",AVERAGE(S:S),S30))))))</f>
        <v>2013</v>
      </c>
    </row>
    <row r="31" spans="1:20" x14ac:dyDescent="0.3">
      <c r="A31" s="1">
        <v>45885.137048611112</v>
      </c>
      <c r="B31">
        <v>1755328641</v>
      </c>
      <c r="C31">
        <v>2.1333299999999999</v>
      </c>
      <c r="E31">
        <v>3.1666599999999998</v>
      </c>
      <c r="F31">
        <v>1.9</v>
      </c>
      <c r="G31">
        <v>0.71665999999999996</v>
      </c>
      <c r="H31">
        <v>5.3666600000000004</v>
      </c>
      <c r="I31">
        <v>3.2666599999999999</v>
      </c>
      <c r="J31">
        <v>11.45</v>
      </c>
      <c r="K31" s="2"/>
      <c r="L31">
        <f>IF(C31="","",C31*60)</f>
        <v>127.99979999999999</v>
      </c>
      <c r="M31" t="str">
        <f>IF(D31="","",D31*60)</f>
        <v/>
      </c>
      <c r="N31">
        <f>IF(E31="","",E31*60)</f>
        <v>189.99959999999999</v>
      </c>
      <c r="O31">
        <f>IF(F31="","",F31*60)</f>
        <v>114</v>
      </c>
      <c r="P31">
        <f>IF(G31="","",G31*60)</f>
        <v>42.999600000000001</v>
      </c>
      <c r="Q31">
        <f>IF(H31="","",H31*60)</f>
        <v>321.99960000000004</v>
      </c>
      <c r="R31">
        <f>IF(I31="","",I31*60)</f>
        <v>195.99959999999999</v>
      </c>
      <c r="S31">
        <f>IF(J31="","",J31*60)</f>
        <v>687</v>
      </c>
      <c r="T31" s="3">
        <f>ROUND(IF(L31="",AVERAGE(L:L),L31)+IF(M31="",AVERAGE(M:M),M31)+IF(N31="",AVERAGE(N:N),N31)+IF(O31="",AVERAGE(O:O),O31)+IF(P31="",AVERAGE(P:P),P31)+IF(Q31="",AVERAGE(Q:Q),Q31)+IF(R31="",AVERAGE(R:R),R31)+IF(S31="",AVERAGE(S:S),S31), 4-(1+INT(LOG10(ABS(IF(L31="",AVERAGE(L:L),L31)+IF(M31="",AVERAGE(M:M),M31)+IF(N31="",AVERAGE(N:N),N31)+IF(O31="",AVERAGE(O:O),O31)+IF(P31="",AVERAGE(P:P),P31)+IF(Q31="",AVERAGE(Q:Q),Q31)+IF(R31="",AVERAGE(R:R),R31)+IF(S31="",AVERAGE(S:S),S31))))))</f>
        <v>2173</v>
      </c>
    </row>
    <row r="32" spans="1:20" x14ac:dyDescent="0.3">
      <c r="A32" s="1">
        <v>45885.162928240738</v>
      </c>
      <c r="B32">
        <v>1755330877</v>
      </c>
      <c r="C32">
        <v>2.65</v>
      </c>
      <c r="E32">
        <v>2.95</v>
      </c>
      <c r="F32">
        <v>2.36666</v>
      </c>
      <c r="G32">
        <v>0.73333000000000004</v>
      </c>
      <c r="H32">
        <v>5.9666600000000001</v>
      </c>
      <c r="I32">
        <v>3.6</v>
      </c>
      <c r="J32">
        <v>9.3000000000000007</v>
      </c>
      <c r="K32" s="2"/>
      <c r="L32">
        <f>IF(C32="","",C32*60)</f>
        <v>159</v>
      </c>
      <c r="M32" t="str">
        <f>IF(D32="","",D32*60)</f>
        <v/>
      </c>
      <c r="N32">
        <f>IF(E32="","",E32*60)</f>
        <v>177</v>
      </c>
      <c r="O32">
        <f>IF(F32="","",F32*60)</f>
        <v>141.99959999999999</v>
      </c>
      <c r="P32">
        <f>IF(G32="","",G32*60)</f>
        <v>43.9998</v>
      </c>
      <c r="Q32">
        <f>IF(H32="","",H32*60)</f>
        <v>357.99959999999999</v>
      </c>
      <c r="R32">
        <f>IF(I32="","",I32*60)</f>
        <v>216</v>
      </c>
      <c r="S32">
        <f>IF(J32="","",J32*60)</f>
        <v>558</v>
      </c>
      <c r="T32" s="3">
        <f>ROUND(IF(L32="",AVERAGE(L:L),L32)+IF(M32="",AVERAGE(M:M),M32)+IF(N32="",AVERAGE(N:N),N32)+IF(O32="",AVERAGE(O:O),O32)+IF(P32="",AVERAGE(P:P),P32)+IF(Q32="",AVERAGE(Q:Q),Q32)+IF(R32="",AVERAGE(R:R),R32)+IF(S32="",AVERAGE(S:S),S32), 4-(1+INT(LOG10(ABS(IF(L32="",AVERAGE(L:L),L32)+IF(M32="",AVERAGE(M:M),M32)+IF(N32="",AVERAGE(N:N),N32)+IF(O32="",AVERAGE(O:O),O32)+IF(P32="",AVERAGE(P:P),P32)+IF(Q32="",AVERAGE(Q:Q),Q32)+IF(R32="",AVERAGE(R:R),R32)+IF(S32="",AVERAGE(S:S),S32))))))</f>
        <v>2147</v>
      </c>
    </row>
    <row r="33" spans="1:20" x14ac:dyDescent="0.3">
      <c r="A33" s="1">
        <v>45885.189629629633</v>
      </c>
      <c r="B33">
        <v>1755333184</v>
      </c>
      <c r="C33">
        <v>2.6833300000000002</v>
      </c>
      <c r="E33">
        <v>3.11666</v>
      </c>
      <c r="F33">
        <v>2.6333299999999999</v>
      </c>
      <c r="G33">
        <v>0.75</v>
      </c>
      <c r="H33">
        <v>6.3166599999999997</v>
      </c>
      <c r="I33">
        <v>3.5333299999999999</v>
      </c>
      <c r="J33">
        <v>9.6166599999999995</v>
      </c>
      <c r="K33" s="2"/>
      <c r="L33">
        <f>IF(C33="","",C33*60)</f>
        <v>160.99980000000002</v>
      </c>
      <c r="M33" t="str">
        <f>IF(D33="","",D33*60)</f>
        <v/>
      </c>
      <c r="N33">
        <f>IF(E33="","",E33*60)</f>
        <v>186.99959999999999</v>
      </c>
      <c r="O33">
        <f>IF(F33="","",F33*60)</f>
        <v>157.99979999999999</v>
      </c>
      <c r="P33">
        <f>IF(G33="","",G33*60)</f>
        <v>45</v>
      </c>
      <c r="Q33">
        <f>IF(H33="","",H33*60)</f>
        <v>378.99959999999999</v>
      </c>
      <c r="R33">
        <f>IF(I33="","",I33*60)</f>
        <v>211.99979999999999</v>
      </c>
      <c r="S33">
        <f>IF(J33="","",J33*60)</f>
        <v>576.99959999999999</v>
      </c>
      <c r="T33" s="3">
        <f>ROUND(IF(L33="",AVERAGE(L:L),L33)+IF(M33="",AVERAGE(M:M),M33)+IF(N33="",AVERAGE(N:N),N33)+IF(O33="",AVERAGE(O:O),O33)+IF(P33="",AVERAGE(P:P),P33)+IF(Q33="",AVERAGE(Q:Q),Q33)+IF(R33="",AVERAGE(R:R),R33)+IF(S33="",AVERAGE(S:S),S33), 4-(1+INT(LOG10(ABS(IF(L33="",AVERAGE(L:L),L33)+IF(M33="",AVERAGE(M:M),M33)+IF(N33="",AVERAGE(N:N),N33)+IF(O33="",AVERAGE(O:O),O33)+IF(P33="",AVERAGE(P:P),P33)+IF(Q33="",AVERAGE(Q:Q),Q33)+IF(R33="",AVERAGE(R:R),R33)+IF(S33="",AVERAGE(S:S),S33))))))</f>
        <v>2212</v>
      </c>
    </row>
    <row r="34" spans="1:20" x14ac:dyDescent="0.3">
      <c r="A34" s="1">
        <v>45885.220405092594</v>
      </c>
      <c r="B34">
        <v>1755335843</v>
      </c>
      <c r="C34">
        <v>2.48333</v>
      </c>
      <c r="E34">
        <v>3.3166600000000002</v>
      </c>
      <c r="F34">
        <v>2.11666</v>
      </c>
      <c r="G34">
        <v>0.8</v>
      </c>
      <c r="H34">
        <v>6.6833299999999998</v>
      </c>
      <c r="I34">
        <v>3.7833299999999999</v>
      </c>
      <c r="J34">
        <v>9.7333300000000005</v>
      </c>
      <c r="K34" s="2"/>
      <c r="L34">
        <f>IF(C34="","",C34*60)</f>
        <v>148.99979999999999</v>
      </c>
      <c r="M34" t="str">
        <f>IF(D34="","",D34*60)</f>
        <v/>
      </c>
      <c r="N34">
        <f>IF(E34="","",E34*60)</f>
        <v>198.99960000000002</v>
      </c>
      <c r="O34">
        <f>IF(F34="","",F34*60)</f>
        <v>126.9996</v>
      </c>
      <c r="P34">
        <f>IF(G34="","",G34*60)</f>
        <v>48</v>
      </c>
      <c r="Q34">
        <f>IF(H34="","",H34*60)</f>
        <v>400.99979999999999</v>
      </c>
      <c r="R34">
        <f>IF(I34="","",I34*60)</f>
        <v>226.99979999999999</v>
      </c>
      <c r="S34">
        <f>IF(J34="","",J34*60)</f>
        <v>583.99980000000005</v>
      </c>
      <c r="T34" s="3">
        <f>ROUND(IF(L34="",AVERAGE(L:L),L34)+IF(M34="",AVERAGE(M:M),M34)+IF(N34="",AVERAGE(N:N),N34)+IF(O34="",AVERAGE(O:O),O34)+IF(P34="",AVERAGE(P:P),P34)+IF(Q34="",AVERAGE(Q:Q),Q34)+IF(R34="",AVERAGE(R:R),R34)+IF(S34="",AVERAGE(S:S),S34), 4-(1+INT(LOG10(ABS(IF(L34="",AVERAGE(L:L),L34)+IF(M34="",AVERAGE(M:M),M34)+IF(N34="",AVERAGE(N:N),N34)+IF(O34="",AVERAGE(O:O),O34)+IF(P34="",AVERAGE(P:P),P34)+IF(Q34="",AVERAGE(Q:Q),Q34)+IF(R34="",AVERAGE(R:R),R34)+IF(S34="",AVERAGE(S:S),S34))))))</f>
        <v>2228</v>
      </c>
    </row>
    <row r="35" spans="1:20" x14ac:dyDescent="0.3">
      <c r="A35" s="1">
        <v>45885.244722222225</v>
      </c>
      <c r="B35">
        <v>1755337944</v>
      </c>
      <c r="C35">
        <v>2.25</v>
      </c>
      <c r="E35">
        <v>3.1</v>
      </c>
      <c r="F35">
        <v>1.85</v>
      </c>
      <c r="G35">
        <v>0.7</v>
      </c>
      <c r="H35">
        <v>5.0833300000000001</v>
      </c>
      <c r="I35">
        <v>3.25</v>
      </c>
      <c r="J35">
        <v>9.4166600000000003</v>
      </c>
      <c r="K35" s="2"/>
      <c r="L35">
        <f>IF(C35="","",C35*60)</f>
        <v>135</v>
      </c>
      <c r="M35" t="str">
        <f>IF(D35="","",D35*60)</f>
        <v/>
      </c>
      <c r="N35">
        <f>IF(E35="","",E35*60)</f>
        <v>186</v>
      </c>
      <c r="O35">
        <f>IF(F35="","",F35*60)</f>
        <v>111</v>
      </c>
      <c r="P35">
        <f>IF(G35="","",G35*60)</f>
        <v>42</v>
      </c>
      <c r="Q35">
        <f>IF(H35="","",H35*60)</f>
        <v>304.99979999999999</v>
      </c>
      <c r="R35">
        <f>IF(I35="","",I35*60)</f>
        <v>195</v>
      </c>
      <c r="S35">
        <f>IF(J35="","",J35*60)</f>
        <v>564.99959999999999</v>
      </c>
      <c r="T35" s="3">
        <f>ROUND(IF(L35="",AVERAGE(L:L),L35)+IF(M35="",AVERAGE(M:M),M35)+IF(N35="",AVERAGE(N:N),N35)+IF(O35="",AVERAGE(O:O),O35)+IF(P35="",AVERAGE(P:P),P35)+IF(Q35="",AVERAGE(Q:Q),Q35)+IF(R35="",AVERAGE(R:R),R35)+IF(S35="",AVERAGE(S:S),S35), 4-(1+INT(LOG10(ABS(IF(L35="",AVERAGE(L:L),L35)+IF(M35="",AVERAGE(M:M),M35)+IF(N35="",AVERAGE(N:N),N35)+IF(O35="",AVERAGE(O:O),O35)+IF(P35="",AVERAGE(P:P),P35)+IF(Q35="",AVERAGE(Q:Q),Q35)+IF(R35="",AVERAGE(R:R),R35)+IF(S35="",AVERAGE(S:S),S35))))))</f>
        <v>2032</v>
      </c>
    </row>
    <row r="36" spans="1:20" x14ac:dyDescent="0.3">
      <c r="A36" s="1">
        <v>45885.26935185185</v>
      </c>
      <c r="B36">
        <v>1755340072</v>
      </c>
      <c r="C36">
        <v>2.1333299999999999</v>
      </c>
      <c r="E36">
        <v>2.75</v>
      </c>
      <c r="F36">
        <v>1.95</v>
      </c>
      <c r="G36">
        <v>0.71665999999999996</v>
      </c>
      <c r="H36">
        <v>5.0999999999999996</v>
      </c>
      <c r="I36">
        <v>3.3833299999999999</v>
      </c>
      <c r="J36">
        <v>10.050000000000001</v>
      </c>
      <c r="K36" s="2"/>
      <c r="L36">
        <f>IF(C36="","",C36*60)</f>
        <v>127.99979999999999</v>
      </c>
      <c r="M36" t="str">
        <f>IF(D36="","",D36*60)</f>
        <v/>
      </c>
      <c r="N36">
        <f>IF(E36="","",E36*60)</f>
        <v>165</v>
      </c>
      <c r="O36">
        <f>IF(F36="","",F36*60)</f>
        <v>117</v>
      </c>
      <c r="P36">
        <f>IF(G36="","",G36*60)</f>
        <v>42.999600000000001</v>
      </c>
      <c r="Q36">
        <f>IF(H36="","",H36*60)</f>
        <v>306</v>
      </c>
      <c r="R36">
        <f>IF(I36="","",I36*60)</f>
        <v>202.99979999999999</v>
      </c>
      <c r="S36">
        <f>IF(J36="","",J36*60)</f>
        <v>603</v>
      </c>
      <c r="T36" s="3">
        <f>ROUND(IF(L36="",AVERAGE(L:L),L36)+IF(M36="",AVERAGE(M:M),M36)+IF(N36="",AVERAGE(N:N),N36)+IF(O36="",AVERAGE(O:O),O36)+IF(P36="",AVERAGE(P:P),P36)+IF(Q36="",AVERAGE(Q:Q),Q36)+IF(R36="",AVERAGE(R:R),R36)+IF(S36="",AVERAGE(S:S),S36), 4-(1+INT(LOG10(ABS(IF(L36="",AVERAGE(L:L),L36)+IF(M36="",AVERAGE(M:M),M36)+IF(N36="",AVERAGE(N:N),N36)+IF(O36="",AVERAGE(O:O),O36)+IF(P36="",AVERAGE(P:P),P36)+IF(Q36="",AVERAGE(Q:Q),Q36)+IF(R36="",AVERAGE(R:R),R36)+IF(S36="",AVERAGE(S:S),S36))))))</f>
        <v>2058</v>
      </c>
    </row>
    <row r="37" spans="1:20" x14ac:dyDescent="0.3">
      <c r="A37" s="1">
        <v>45885.294629629629</v>
      </c>
      <c r="B37">
        <v>1755342256</v>
      </c>
      <c r="C37">
        <v>2.1</v>
      </c>
      <c r="E37">
        <v>2.7666599999999999</v>
      </c>
      <c r="F37">
        <v>1.86666</v>
      </c>
      <c r="G37">
        <v>0.68332999999999999</v>
      </c>
      <c r="H37">
        <v>5.0333300000000003</v>
      </c>
      <c r="I37">
        <v>3.1833300000000002</v>
      </c>
      <c r="J37">
        <v>10.033329999999999</v>
      </c>
      <c r="K37" s="2"/>
      <c r="L37">
        <f>IF(C37="","",C37*60)</f>
        <v>126</v>
      </c>
      <c r="M37" t="str">
        <f>IF(D37="","",D37*60)</f>
        <v/>
      </c>
      <c r="N37">
        <f>IF(E37="","",E37*60)</f>
        <v>165.99959999999999</v>
      </c>
      <c r="O37">
        <f>IF(F37="","",F37*60)</f>
        <v>111.9996</v>
      </c>
      <c r="P37">
        <f>IF(G37="","",G37*60)</f>
        <v>40.9998</v>
      </c>
      <c r="Q37">
        <f>IF(H37="","",H37*60)</f>
        <v>301.99979999999999</v>
      </c>
      <c r="R37">
        <f>IF(I37="","",I37*60)</f>
        <v>190.99980000000002</v>
      </c>
      <c r="S37">
        <f>IF(J37="","",J37*60)</f>
        <v>601.99979999999994</v>
      </c>
      <c r="T37" s="3">
        <f>ROUND(IF(L37="",AVERAGE(L:L),L37)+IF(M37="",AVERAGE(M:M),M37)+IF(N37="",AVERAGE(N:N),N37)+IF(O37="",AVERAGE(O:O),O37)+IF(P37="",AVERAGE(P:P),P37)+IF(Q37="",AVERAGE(Q:Q),Q37)+IF(R37="",AVERAGE(R:R),R37)+IF(S37="",AVERAGE(S:S),S37), 4-(1+INT(LOG10(ABS(IF(L37="",AVERAGE(L:L),L37)+IF(M37="",AVERAGE(M:M),M37)+IF(N37="",AVERAGE(N:N),N37)+IF(O37="",AVERAGE(O:O),O37)+IF(P37="",AVERAGE(P:P),P37)+IF(Q37="",AVERAGE(Q:Q),Q37)+IF(R37="",AVERAGE(R:R),R37)+IF(S37="",AVERAGE(S:S),S37))))))</f>
        <v>2033</v>
      </c>
    </row>
    <row r="38" spans="1:20" x14ac:dyDescent="0.3">
      <c r="A38" s="1">
        <v>45885.318356481483</v>
      </c>
      <c r="B38">
        <v>1755344306</v>
      </c>
      <c r="C38">
        <v>2.0833300000000001</v>
      </c>
      <c r="E38">
        <v>2.7166600000000001</v>
      </c>
      <c r="F38">
        <v>1.86666</v>
      </c>
      <c r="G38">
        <v>0.7</v>
      </c>
      <c r="H38">
        <v>5.2</v>
      </c>
      <c r="I38">
        <v>3.25</v>
      </c>
      <c r="J38">
        <v>9.4166600000000003</v>
      </c>
      <c r="K38" s="2"/>
      <c r="L38">
        <f>IF(C38="","",C38*60)</f>
        <v>124.99980000000001</v>
      </c>
      <c r="M38" t="str">
        <f>IF(D38="","",D38*60)</f>
        <v/>
      </c>
      <c r="N38">
        <f>IF(E38="","",E38*60)</f>
        <v>162.99960000000002</v>
      </c>
      <c r="O38">
        <f>IF(F38="","",F38*60)</f>
        <v>111.9996</v>
      </c>
      <c r="P38">
        <f>IF(G38="","",G38*60)</f>
        <v>42</v>
      </c>
      <c r="Q38">
        <f>IF(H38="","",H38*60)</f>
        <v>312</v>
      </c>
      <c r="R38">
        <f>IF(I38="","",I38*60)</f>
        <v>195</v>
      </c>
      <c r="S38">
        <f>IF(J38="","",J38*60)</f>
        <v>564.99959999999999</v>
      </c>
      <c r="T38" s="3">
        <f>ROUND(IF(L38="",AVERAGE(L:L),L38)+IF(M38="",AVERAGE(M:M),M38)+IF(N38="",AVERAGE(N:N),N38)+IF(O38="",AVERAGE(O:O),O38)+IF(P38="",AVERAGE(P:P),P38)+IF(Q38="",AVERAGE(Q:Q),Q38)+IF(R38="",AVERAGE(R:R),R38)+IF(S38="",AVERAGE(S:S),S38), 4-(1+INT(LOG10(ABS(IF(L38="",AVERAGE(L:L),L38)+IF(M38="",AVERAGE(M:M),M38)+IF(N38="",AVERAGE(N:N),N38)+IF(O38="",AVERAGE(O:O),O38)+IF(P38="",AVERAGE(P:P),P38)+IF(Q38="",AVERAGE(Q:Q),Q38)+IF(R38="",AVERAGE(R:R),R38)+IF(S38="",AVERAGE(S:S),S38))))))</f>
        <v>2007</v>
      </c>
    </row>
    <row r="39" spans="1:20" x14ac:dyDescent="0.3">
      <c r="A39" s="1">
        <v>45885.342592592591</v>
      </c>
      <c r="B39">
        <v>1755346400</v>
      </c>
      <c r="C39">
        <v>2.2166600000000001</v>
      </c>
      <c r="E39">
        <v>2.6666599999999998</v>
      </c>
      <c r="F39">
        <v>1.85</v>
      </c>
      <c r="G39">
        <v>0.7</v>
      </c>
      <c r="H39">
        <v>5.2166600000000001</v>
      </c>
      <c r="I39">
        <v>3.45</v>
      </c>
      <c r="J39">
        <v>9.3000000000000007</v>
      </c>
      <c r="K39" s="2"/>
      <c r="L39">
        <f>IF(C39="","",C39*60)</f>
        <v>132.99960000000002</v>
      </c>
      <c r="M39" t="str">
        <f>IF(D39="","",D39*60)</f>
        <v/>
      </c>
      <c r="N39">
        <f>IF(E39="","",E39*60)</f>
        <v>159.99959999999999</v>
      </c>
      <c r="O39">
        <f>IF(F39="","",F39*60)</f>
        <v>111</v>
      </c>
      <c r="P39">
        <f>IF(G39="","",G39*60)</f>
        <v>42</v>
      </c>
      <c r="Q39">
        <f>IF(H39="","",H39*60)</f>
        <v>312.99959999999999</v>
      </c>
      <c r="R39">
        <f>IF(I39="","",I39*60)</f>
        <v>207</v>
      </c>
      <c r="S39">
        <f>IF(J39="","",J39*60)</f>
        <v>558</v>
      </c>
      <c r="T39" s="3">
        <f>ROUND(IF(L39="",AVERAGE(L:L),L39)+IF(M39="",AVERAGE(M:M),M39)+IF(N39="",AVERAGE(N:N),N39)+IF(O39="",AVERAGE(O:O),O39)+IF(P39="",AVERAGE(P:P),P39)+IF(Q39="",AVERAGE(Q:Q),Q39)+IF(R39="",AVERAGE(R:R),R39)+IF(S39="",AVERAGE(S:S),S39), 4-(1+INT(LOG10(ABS(IF(L39="",AVERAGE(L:L),L39)+IF(M39="",AVERAGE(M:M),M39)+IF(N39="",AVERAGE(N:N),N39)+IF(O39="",AVERAGE(O:O),O39)+IF(P39="",AVERAGE(P:P),P39)+IF(Q39="",AVERAGE(Q:Q),Q39)+IF(R39="",AVERAGE(R:R),R39)+IF(S39="",AVERAGE(S:S),S39))))))</f>
        <v>2017</v>
      </c>
    </row>
    <row r="40" spans="1:20" x14ac:dyDescent="0.3">
      <c r="A40" s="1">
        <v>45885.356087962966</v>
      </c>
      <c r="B40">
        <v>1755347566</v>
      </c>
      <c r="C40">
        <v>2.1666599999999998</v>
      </c>
      <c r="E40">
        <v>2.73333</v>
      </c>
      <c r="F40">
        <v>2.2166600000000001</v>
      </c>
      <c r="G40">
        <v>0.7</v>
      </c>
      <c r="H40">
        <v>5.35</v>
      </c>
      <c r="I40">
        <v>3.1666599999999998</v>
      </c>
      <c r="K40" s="2"/>
      <c r="L40">
        <f>IF(C40="","",C40*60)</f>
        <v>129.99959999999999</v>
      </c>
      <c r="M40" t="str">
        <f>IF(D40="","",D40*60)</f>
        <v/>
      </c>
      <c r="N40">
        <f>IF(E40="","",E40*60)</f>
        <v>163.99979999999999</v>
      </c>
      <c r="O40">
        <f>IF(F40="","",F40*60)</f>
        <v>132.99960000000002</v>
      </c>
      <c r="P40">
        <f>IF(G40="","",G40*60)</f>
        <v>42</v>
      </c>
      <c r="Q40">
        <f>IF(H40="","",H40*60)</f>
        <v>321</v>
      </c>
      <c r="R40">
        <f>IF(I40="","",I40*60)</f>
        <v>189.99959999999999</v>
      </c>
      <c r="S40" t="str">
        <f>IF(J40="","",J40*60)</f>
        <v/>
      </c>
      <c r="T40" s="3">
        <f>ROUND(IF(L40="",AVERAGE(L:L),L40)+IF(M40="",AVERAGE(M:M),M40)+IF(N40="",AVERAGE(N:N),N40)+IF(O40="",AVERAGE(O:O),O40)+IF(P40="",AVERAGE(P:P),P40)+IF(Q40="",AVERAGE(Q:Q),Q40)+IF(R40="",AVERAGE(R:R),R40)+IF(S40="",AVERAGE(S:S),S40), 4-(1+INT(LOG10(ABS(IF(L40="",AVERAGE(L:L),L40)+IF(M40="",AVERAGE(M:M),M40)+IF(N40="",AVERAGE(N:N),N40)+IF(O40="",AVERAGE(O:O),O40)+IF(P40="",AVERAGE(P:P),P40)+IF(Q40="",AVERAGE(Q:Q),Q40)+IF(R40="",AVERAGE(R:R),R40)+IF(S40="",AVERAGE(S:S),S40))))))</f>
        <v>2040</v>
      </c>
    </row>
    <row r="41" spans="1:20" x14ac:dyDescent="0.3">
      <c r="A41" s="1">
        <v>45885.387511574074</v>
      </c>
      <c r="B41">
        <v>1755350281</v>
      </c>
      <c r="C41">
        <v>2.6</v>
      </c>
      <c r="D41">
        <v>9.1</v>
      </c>
      <c r="E41">
        <v>3.0166599999999999</v>
      </c>
      <c r="F41">
        <v>1.9</v>
      </c>
      <c r="G41">
        <v>0.7</v>
      </c>
      <c r="H41">
        <v>5.25</v>
      </c>
      <c r="I41">
        <v>3.35</v>
      </c>
      <c r="J41">
        <v>10.41666</v>
      </c>
      <c r="K41" s="2"/>
      <c r="L41">
        <f>IF(C41="","",C41*60)</f>
        <v>156</v>
      </c>
      <c r="M41">
        <f>IF(D41="","",D41*60)</f>
        <v>546</v>
      </c>
      <c r="N41">
        <f>IF(E41="","",E41*60)</f>
        <v>180.99959999999999</v>
      </c>
      <c r="O41">
        <f>IF(F41="","",F41*60)</f>
        <v>114</v>
      </c>
      <c r="P41">
        <f>IF(G41="","",G41*60)</f>
        <v>42</v>
      </c>
      <c r="Q41">
        <f>IF(H41="","",H41*60)</f>
        <v>315</v>
      </c>
      <c r="R41">
        <f>IF(I41="","",I41*60)</f>
        <v>201</v>
      </c>
      <c r="S41">
        <f>IF(J41="","",J41*60)</f>
        <v>624.99959999999999</v>
      </c>
      <c r="T41" s="3">
        <f>ROUND(IF(L41="",AVERAGE(L:L),L41)+IF(M41="",AVERAGE(M:M),M41)+IF(N41="",AVERAGE(N:N),N41)+IF(O41="",AVERAGE(O:O),O41)+IF(P41="",AVERAGE(P:P),P41)+IF(Q41="",AVERAGE(Q:Q),Q41)+IF(R41="",AVERAGE(R:R),R41)+IF(S41="",AVERAGE(S:S),S41), 4-(1+INT(LOG10(ABS(IF(L41="",AVERAGE(L:L),L41)+IF(M41="",AVERAGE(M:M),M41)+IF(N41="",AVERAGE(N:N),N41)+IF(O41="",AVERAGE(O:O),O41)+IF(P41="",AVERAGE(P:P),P41)+IF(Q41="",AVERAGE(Q:Q),Q41)+IF(R41="",AVERAGE(R:R),R41)+IF(S41="",AVERAGE(S:S),S41))))))</f>
        <v>2180</v>
      </c>
    </row>
    <row r="42" spans="1:20" x14ac:dyDescent="0.3">
      <c r="A42" s="1">
        <v>45885.41615740741</v>
      </c>
      <c r="B42">
        <v>1755352756</v>
      </c>
      <c r="C42">
        <v>2.1833300000000002</v>
      </c>
      <c r="D42">
        <v>8.6999999999999993</v>
      </c>
      <c r="E42">
        <v>3.1833300000000002</v>
      </c>
      <c r="F42">
        <v>1.8833299999999999</v>
      </c>
      <c r="G42">
        <v>0.78332999999999997</v>
      </c>
      <c r="H42">
        <v>5.3666600000000004</v>
      </c>
      <c r="I42">
        <v>3.5166599999999999</v>
      </c>
      <c r="J42">
        <v>9.3166600000000006</v>
      </c>
      <c r="K42" s="2"/>
      <c r="L42">
        <f>IF(C42="","",C42*60)</f>
        <v>130.99980000000002</v>
      </c>
      <c r="M42">
        <f>IF(D42="","",D42*60)</f>
        <v>522</v>
      </c>
      <c r="N42">
        <f>IF(E42="","",E42*60)</f>
        <v>190.99980000000002</v>
      </c>
      <c r="O42">
        <f>IF(F42="","",F42*60)</f>
        <v>112.99979999999999</v>
      </c>
      <c r="P42">
        <f>IF(G42="","",G42*60)</f>
        <v>46.9998</v>
      </c>
      <c r="Q42">
        <f>IF(H42="","",H42*60)</f>
        <v>321.99960000000004</v>
      </c>
      <c r="R42">
        <f>IF(I42="","",I42*60)</f>
        <v>210.99959999999999</v>
      </c>
      <c r="S42">
        <f>IF(J42="","",J42*60)</f>
        <v>558.99959999999999</v>
      </c>
      <c r="T42" s="3">
        <f>ROUND(IF(L42="",AVERAGE(L:L),L42)+IF(M42="",AVERAGE(M:M),M42)+IF(N42="",AVERAGE(N:N),N42)+IF(O42="",AVERAGE(O:O),O42)+IF(P42="",AVERAGE(P:P),P42)+IF(Q42="",AVERAGE(Q:Q),Q42)+IF(R42="",AVERAGE(R:R),R42)+IF(S42="",AVERAGE(S:S),S42), 4-(1+INT(LOG10(ABS(IF(L42="",AVERAGE(L:L),L42)+IF(M42="",AVERAGE(M:M),M42)+IF(N42="",AVERAGE(N:N),N42)+IF(O42="",AVERAGE(O:O),O42)+IF(P42="",AVERAGE(P:P),P42)+IF(Q42="",AVERAGE(Q:Q),Q42)+IF(R42="",AVERAGE(R:R),R42)+IF(S42="",AVERAGE(S:S),S42))))))</f>
        <v>2096</v>
      </c>
    </row>
    <row r="43" spans="1:20" x14ac:dyDescent="0.3">
      <c r="A43" s="1">
        <v>45885.444097222222</v>
      </c>
      <c r="B43">
        <v>1755355170</v>
      </c>
      <c r="C43">
        <v>2.73333</v>
      </c>
      <c r="D43">
        <v>7.95</v>
      </c>
      <c r="E43">
        <v>2.86666</v>
      </c>
      <c r="F43">
        <v>2.2166600000000001</v>
      </c>
      <c r="G43">
        <v>0.8</v>
      </c>
      <c r="H43">
        <v>5.1666600000000003</v>
      </c>
      <c r="I43">
        <v>3.2</v>
      </c>
      <c r="J43">
        <v>8.6666600000000003</v>
      </c>
      <c r="K43" s="2"/>
      <c r="L43">
        <f>IF(C43="","",C43*60)</f>
        <v>163.99979999999999</v>
      </c>
      <c r="M43">
        <f>IF(D43="","",D43*60)</f>
        <v>477</v>
      </c>
      <c r="N43">
        <f>IF(E43="","",E43*60)</f>
        <v>171.99959999999999</v>
      </c>
      <c r="O43">
        <f>IF(F43="","",F43*60)</f>
        <v>132.99960000000002</v>
      </c>
      <c r="P43">
        <f>IF(G43="","",G43*60)</f>
        <v>48</v>
      </c>
      <c r="Q43">
        <f>IF(H43="","",H43*60)</f>
        <v>309.99959999999999</v>
      </c>
      <c r="R43">
        <f>IF(I43="","",I43*60)</f>
        <v>192</v>
      </c>
      <c r="S43">
        <f>IF(J43="","",J43*60)</f>
        <v>519.99959999999999</v>
      </c>
      <c r="T43" s="3">
        <f>ROUND(IF(L43="",AVERAGE(L:L),L43)+IF(M43="",AVERAGE(M:M),M43)+IF(N43="",AVERAGE(N:N),N43)+IF(O43="",AVERAGE(O:O),O43)+IF(P43="",AVERAGE(P:P),P43)+IF(Q43="",AVERAGE(Q:Q),Q43)+IF(R43="",AVERAGE(R:R),R43)+IF(S43="",AVERAGE(S:S),S43), 4-(1+INT(LOG10(ABS(IF(L43="",AVERAGE(L:L),L43)+IF(M43="",AVERAGE(M:M),M43)+IF(N43="",AVERAGE(N:N),N43)+IF(O43="",AVERAGE(O:O),O43)+IF(P43="",AVERAGE(P:P),P43)+IF(Q43="",AVERAGE(Q:Q),Q43)+IF(R43="",AVERAGE(R:R),R43)+IF(S43="",AVERAGE(S:S),S43))))))</f>
        <v>2016</v>
      </c>
    </row>
    <row r="44" spans="1:20" x14ac:dyDescent="0.3">
      <c r="A44" s="1">
        <v>45885.471446759257</v>
      </c>
      <c r="B44">
        <v>1755357533</v>
      </c>
      <c r="C44">
        <v>2.15</v>
      </c>
      <c r="D44">
        <v>8.4166600000000003</v>
      </c>
      <c r="E44">
        <v>2.73333</v>
      </c>
      <c r="F44">
        <v>1.86666</v>
      </c>
      <c r="G44">
        <v>0.68332999999999999</v>
      </c>
      <c r="H44">
        <v>4.9833299999999996</v>
      </c>
      <c r="I44">
        <v>3.1833300000000002</v>
      </c>
      <c r="J44">
        <v>9.35</v>
      </c>
      <c r="K44" s="2"/>
      <c r="L44">
        <f>IF(C44="","",C44*60)</f>
        <v>129</v>
      </c>
      <c r="M44">
        <f>IF(D44="","",D44*60)</f>
        <v>504.99959999999999</v>
      </c>
      <c r="N44">
        <f>IF(E44="","",E44*60)</f>
        <v>163.99979999999999</v>
      </c>
      <c r="O44">
        <f>IF(F44="","",F44*60)</f>
        <v>111.9996</v>
      </c>
      <c r="P44">
        <f>IF(G44="","",G44*60)</f>
        <v>40.9998</v>
      </c>
      <c r="Q44">
        <f>IF(H44="","",H44*60)</f>
        <v>298.99979999999999</v>
      </c>
      <c r="R44">
        <f>IF(I44="","",I44*60)</f>
        <v>190.99980000000002</v>
      </c>
      <c r="S44">
        <f>IF(J44="","",J44*60)</f>
        <v>561</v>
      </c>
      <c r="T44" s="3">
        <f>ROUND(IF(L44="",AVERAGE(L:L),L44)+IF(M44="",AVERAGE(M:M),M44)+IF(N44="",AVERAGE(N:N),N44)+IF(O44="",AVERAGE(O:O),O44)+IF(P44="",AVERAGE(P:P),P44)+IF(Q44="",AVERAGE(Q:Q),Q44)+IF(R44="",AVERAGE(R:R),R44)+IF(S44="",AVERAGE(S:S),S44), 4-(1+INT(LOG10(ABS(IF(L44="",AVERAGE(L:L),L44)+IF(M44="",AVERAGE(M:M),M44)+IF(N44="",AVERAGE(N:N),N44)+IF(O44="",AVERAGE(O:O),O44)+IF(P44="",AVERAGE(P:P),P44)+IF(Q44="",AVERAGE(Q:Q),Q44)+IF(R44="",AVERAGE(R:R),R44)+IF(S44="",AVERAGE(S:S),S44))))))</f>
        <v>2002</v>
      </c>
    </row>
    <row r="45" spans="1:20" x14ac:dyDescent="0.3">
      <c r="A45" s="1">
        <v>45885.495196759257</v>
      </c>
      <c r="B45">
        <v>1755359585</v>
      </c>
      <c r="C45">
        <v>2.2000000000000002</v>
      </c>
      <c r="E45">
        <v>2.7666599999999999</v>
      </c>
      <c r="F45">
        <v>1.86666</v>
      </c>
      <c r="G45">
        <v>0.68332999999999999</v>
      </c>
      <c r="H45">
        <v>5.1333299999999999</v>
      </c>
      <c r="I45">
        <v>3.23333</v>
      </c>
      <c r="J45">
        <v>9.2333300000000005</v>
      </c>
      <c r="K45" s="2"/>
      <c r="L45">
        <f>IF(C45="","",C45*60)</f>
        <v>132</v>
      </c>
      <c r="M45" t="str">
        <f>IF(D45="","",D45*60)</f>
        <v/>
      </c>
      <c r="N45">
        <f>IF(E45="","",E45*60)</f>
        <v>165.99959999999999</v>
      </c>
      <c r="O45">
        <f>IF(F45="","",F45*60)</f>
        <v>111.9996</v>
      </c>
      <c r="P45">
        <f>IF(G45="","",G45*60)</f>
        <v>40.9998</v>
      </c>
      <c r="Q45">
        <f>IF(H45="","",H45*60)</f>
        <v>307.99979999999999</v>
      </c>
      <c r="R45">
        <f>IF(I45="","",I45*60)</f>
        <v>193.99979999999999</v>
      </c>
      <c r="S45">
        <f>IF(J45="","",J45*60)</f>
        <v>553.99980000000005</v>
      </c>
      <c r="T45" s="3">
        <f>ROUND(IF(L45="",AVERAGE(L:L),L45)+IF(M45="",AVERAGE(M:M),M45)+IF(N45="",AVERAGE(N:N),N45)+IF(O45="",AVERAGE(O:O),O45)+IF(P45="",AVERAGE(P:P),P45)+IF(Q45="",AVERAGE(Q:Q),Q45)+IF(R45="",AVERAGE(R:R),R45)+IF(S45="",AVERAGE(S:S),S45), 4-(1+INT(LOG10(ABS(IF(L45="",AVERAGE(L:L),L45)+IF(M45="",AVERAGE(M:M),M45)+IF(N45="",AVERAGE(N:N),N45)+IF(O45="",AVERAGE(O:O),O45)+IF(P45="",AVERAGE(P:P),P45)+IF(Q45="",AVERAGE(Q:Q),Q45)+IF(R45="",AVERAGE(R:R),R45)+IF(S45="",AVERAGE(S:S),S45))))))</f>
        <v>2000</v>
      </c>
    </row>
    <row r="46" spans="1:20" x14ac:dyDescent="0.3">
      <c r="A46" s="1">
        <v>45885.519178240742</v>
      </c>
      <c r="B46">
        <v>1755361657</v>
      </c>
      <c r="C46">
        <v>2.1</v>
      </c>
      <c r="E46">
        <v>2.7166600000000001</v>
      </c>
      <c r="F46">
        <v>1.86666</v>
      </c>
      <c r="G46">
        <v>0.68332999999999999</v>
      </c>
      <c r="H46">
        <v>5.15</v>
      </c>
      <c r="I46">
        <v>3.3166600000000002</v>
      </c>
      <c r="J46">
        <v>9.3833300000000008</v>
      </c>
      <c r="K46" s="2"/>
      <c r="L46">
        <f>IF(C46="","",C46*60)</f>
        <v>126</v>
      </c>
      <c r="M46" t="str">
        <f>IF(D46="","",D46*60)</f>
        <v/>
      </c>
      <c r="N46">
        <f>IF(E46="","",E46*60)</f>
        <v>162.99960000000002</v>
      </c>
      <c r="O46">
        <f>IF(F46="","",F46*60)</f>
        <v>111.9996</v>
      </c>
      <c r="P46">
        <f>IF(G46="","",G46*60)</f>
        <v>40.9998</v>
      </c>
      <c r="Q46">
        <f>IF(H46="","",H46*60)</f>
        <v>309</v>
      </c>
      <c r="R46">
        <f>IF(I46="","",I46*60)</f>
        <v>198.99960000000002</v>
      </c>
      <c r="S46">
        <f>IF(J46="","",J46*60)</f>
        <v>562.99980000000005</v>
      </c>
      <c r="T46" s="3">
        <f>ROUND(IF(L46="",AVERAGE(L:L),L46)+IF(M46="",AVERAGE(M:M),M46)+IF(N46="",AVERAGE(N:N),N46)+IF(O46="",AVERAGE(O:O),O46)+IF(P46="",AVERAGE(P:P),P46)+IF(Q46="",AVERAGE(Q:Q),Q46)+IF(R46="",AVERAGE(R:R),R46)+IF(S46="",AVERAGE(S:S),S46), 4-(1+INT(LOG10(ABS(IF(L46="",AVERAGE(L:L),L46)+IF(M46="",AVERAGE(M:M),M46)+IF(N46="",AVERAGE(N:N),N46)+IF(O46="",AVERAGE(O:O),O46)+IF(P46="",AVERAGE(P:P),P46)+IF(Q46="",AVERAGE(Q:Q),Q46)+IF(R46="",AVERAGE(R:R),R46)+IF(S46="",AVERAGE(S:S),S46))))))</f>
        <v>2006</v>
      </c>
    </row>
    <row r="47" spans="1:20" x14ac:dyDescent="0.3">
      <c r="A47" s="1">
        <v>45885.543599537035</v>
      </c>
      <c r="B47">
        <v>1755363767</v>
      </c>
      <c r="C47">
        <v>2.15</v>
      </c>
      <c r="E47">
        <v>2.7666599999999999</v>
      </c>
      <c r="F47">
        <v>2.2666599999999999</v>
      </c>
      <c r="G47">
        <v>0.68332999999999999</v>
      </c>
      <c r="H47">
        <v>5.3666600000000004</v>
      </c>
      <c r="I47">
        <v>3.2166600000000001</v>
      </c>
      <c r="J47">
        <v>9.4333299999999998</v>
      </c>
      <c r="K47" s="2"/>
      <c r="L47">
        <f>IF(C47="","",C47*60)</f>
        <v>129</v>
      </c>
      <c r="M47" t="str">
        <f>IF(D47="","",D47*60)</f>
        <v/>
      </c>
      <c r="N47">
        <f>IF(E47="","",E47*60)</f>
        <v>165.99959999999999</v>
      </c>
      <c r="O47">
        <f>IF(F47="","",F47*60)</f>
        <v>135.99959999999999</v>
      </c>
      <c r="P47">
        <f>IF(G47="","",G47*60)</f>
        <v>40.9998</v>
      </c>
      <c r="Q47">
        <f>IF(H47="","",H47*60)</f>
        <v>321.99960000000004</v>
      </c>
      <c r="R47">
        <f>IF(I47="","",I47*60)</f>
        <v>192.99960000000002</v>
      </c>
      <c r="S47">
        <f>IF(J47="","",J47*60)</f>
        <v>565.99979999999994</v>
      </c>
      <c r="T47" s="3">
        <f>ROUND(IF(L47="",AVERAGE(L:L),L47)+IF(M47="",AVERAGE(M:M),M47)+IF(N47="",AVERAGE(N:N),N47)+IF(O47="",AVERAGE(O:O),O47)+IF(P47="",AVERAGE(P:P),P47)+IF(Q47="",AVERAGE(Q:Q),Q47)+IF(R47="",AVERAGE(R:R),R47)+IF(S47="",AVERAGE(S:S),S47), 4-(1+INT(LOG10(ABS(IF(L47="",AVERAGE(L:L),L47)+IF(M47="",AVERAGE(M:M),M47)+IF(N47="",AVERAGE(N:N),N47)+IF(O47="",AVERAGE(O:O),O47)+IF(P47="",AVERAGE(P:P),P47)+IF(Q47="",AVERAGE(Q:Q),Q47)+IF(R47="",AVERAGE(R:R),R47)+IF(S47="",AVERAGE(S:S),S47))))))</f>
        <v>2046</v>
      </c>
    </row>
    <row r="48" spans="1:20" x14ac:dyDescent="0.3">
      <c r="A48" s="1">
        <v>45885.567962962959</v>
      </c>
      <c r="B48">
        <v>1755365872</v>
      </c>
      <c r="C48">
        <v>2.1333299999999999</v>
      </c>
      <c r="E48">
        <v>2.7166600000000001</v>
      </c>
      <c r="F48">
        <v>1.85</v>
      </c>
      <c r="G48">
        <v>0.68332999999999999</v>
      </c>
      <c r="H48">
        <v>5.1333299999999999</v>
      </c>
      <c r="I48">
        <v>3.1833300000000002</v>
      </c>
      <c r="J48">
        <v>9.8333300000000001</v>
      </c>
      <c r="K48" s="2"/>
      <c r="L48">
        <f>IF(C48="","",C48*60)</f>
        <v>127.99979999999999</v>
      </c>
      <c r="M48" t="str">
        <f>IF(D48="","",D48*60)</f>
        <v/>
      </c>
      <c r="N48">
        <f>IF(E48="","",E48*60)</f>
        <v>162.99960000000002</v>
      </c>
      <c r="O48">
        <f>IF(F48="","",F48*60)</f>
        <v>111</v>
      </c>
      <c r="P48">
        <f>IF(G48="","",G48*60)</f>
        <v>40.9998</v>
      </c>
      <c r="Q48">
        <f>IF(H48="","",H48*60)</f>
        <v>307.99979999999999</v>
      </c>
      <c r="R48">
        <f>IF(I48="","",I48*60)</f>
        <v>190.99980000000002</v>
      </c>
      <c r="S48">
        <f>IF(J48="","",J48*60)</f>
        <v>589.99980000000005</v>
      </c>
      <c r="T48" s="3">
        <f>ROUND(IF(L48="",AVERAGE(L:L),L48)+IF(M48="",AVERAGE(M:M),M48)+IF(N48="",AVERAGE(N:N),N48)+IF(O48="",AVERAGE(O:O),O48)+IF(P48="",AVERAGE(P:P),P48)+IF(Q48="",AVERAGE(Q:Q),Q48)+IF(R48="",AVERAGE(R:R),R48)+IF(S48="",AVERAGE(S:S),S48), 4-(1+INT(LOG10(ABS(IF(L48="",AVERAGE(L:L),L48)+IF(M48="",AVERAGE(M:M),M48)+IF(N48="",AVERAGE(N:N),N48)+IF(O48="",AVERAGE(O:O),O48)+IF(P48="",AVERAGE(P:P),P48)+IF(Q48="",AVERAGE(Q:Q),Q48)+IF(R48="",AVERAGE(R:R),R48)+IF(S48="",AVERAGE(S:S),S48))))))</f>
        <v>2025</v>
      </c>
    </row>
    <row r="49" spans="1:20" x14ac:dyDescent="0.3">
      <c r="A49" s="1">
        <v>45885.591574074075</v>
      </c>
      <c r="B49">
        <v>1755367912</v>
      </c>
      <c r="C49">
        <v>2.1333299999999999</v>
      </c>
      <c r="E49">
        <v>2.7166600000000001</v>
      </c>
      <c r="F49">
        <v>2.2166600000000001</v>
      </c>
      <c r="G49">
        <v>0.71665999999999996</v>
      </c>
      <c r="H49">
        <v>5.0333300000000003</v>
      </c>
      <c r="I49">
        <v>3.3333300000000001</v>
      </c>
      <c r="J49">
        <v>9.0333299999999994</v>
      </c>
      <c r="K49" s="2"/>
      <c r="L49">
        <f>IF(C49="","",C49*60)</f>
        <v>127.99979999999999</v>
      </c>
      <c r="M49" t="str">
        <f>IF(D49="","",D49*60)</f>
        <v/>
      </c>
      <c r="N49">
        <f>IF(E49="","",E49*60)</f>
        <v>162.99960000000002</v>
      </c>
      <c r="O49">
        <f>IF(F49="","",F49*60)</f>
        <v>132.99960000000002</v>
      </c>
      <c r="P49">
        <f>IF(G49="","",G49*60)</f>
        <v>42.999600000000001</v>
      </c>
      <c r="Q49">
        <f>IF(H49="","",H49*60)</f>
        <v>301.99979999999999</v>
      </c>
      <c r="R49">
        <f>IF(I49="","",I49*60)</f>
        <v>199.99979999999999</v>
      </c>
      <c r="S49">
        <f>IF(J49="","",J49*60)</f>
        <v>541.99979999999994</v>
      </c>
      <c r="T49" s="3">
        <f>ROUND(IF(L49="",AVERAGE(L:L),L49)+IF(M49="",AVERAGE(M:M),M49)+IF(N49="",AVERAGE(N:N),N49)+IF(O49="",AVERAGE(O:O),O49)+IF(P49="",AVERAGE(P:P),P49)+IF(Q49="",AVERAGE(Q:Q),Q49)+IF(R49="",AVERAGE(R:R),R49)+IF(S49="",AVERAGE(S:S),S49), 4-(1+INT(LOG10(ABS(IF(L49="",AVERAGE(L:L),L49)+IF(M49="",AVERAGE(M:M),M49)+IF(N49="",AVERAGE(N:N),N49)+IF(O49="",AVERAGE(O:O),O49)+IF(P49="",AVERAGE(P:P),P49)+IF(Q49="",AVERAGE(Q:Q),Q49)+IF(R49="",AVERAGE(R:R),R49)+IF(S49="",AVERAGE(S:S),S49))))))</f>
        <v>2004</v>
      </c>
    </row>
    <row r="50" spans="1:20" x14ac:dyDescent="0.3">
      <c r="A50" s="1">
        <v>45885.615578703706</v>
      </c>
      <c r="B50">
        <v>1755369986</v>
      </c>
      <c r="C50">
        <v>2.11666</v>
      </c>
      <c r="E50">
        <v>2.8166600000000002</v>
      </c>
      <c r="F50">
        <v>1.86666</v>
      </c>
      <c r="G50">
        <v>0.76666000000000001</v>
      </c>
      <c r="H50">
        <v>5.1166600000000004</v>
      </c>
      <c r="I50">
        <v>3.35</v>
      </c>
      <c r="J50">
        <v>9.5666600000000006</v>
      </c>
      <c r="K50" s="2"/>
      <c r="L50">
        <f>IF(C50="","",C50*60)</f>
        <v>126.9996</v>
      </c>
      <c r="M50" t="str">
        <f>IF(D50="","",D50*60)</f>
        <v/>
      </c>
      <c r="N50">
        <f>IF(E50="","",E50*60)</f>
        <v>168.99960000000002</v>
      </c>
      <c r="O50">
        <f>IF(F50="","",F50*60)</f>
        <v>111.9996</v>
      </c>
      <c r="P50">
        <f>IF(G50="","",G50*60)</f>
        <v>45.999600000000001</v>
      </c>
      <c r="Q50">
        <f>IF(H50="","",H50*60)</f>
        <v>306.99960000000004</v>
      </c>
      <c r="R50">
        <f>IF(I50="","",I50*60)</f>
        <v>201</v>
      </c>
      <c r="S50">
        <f>IF(J50="","",J50*60)</f>
        <v>573.99959999999999</v>
      </c>
      <c r="T50" s="3">
        <f>ROUND(IF(L50="",AVERAGE(L:L),L50)+IF(M50="",AVERAGE(M:M),M50)+IF(N50="",AVERAGE(N:N),N50)+IF(O50="",AVERAGE(O:O),O50)+IF(P50="",AVERAGE(P:P),P50)+IF(Q50="",AVERAGE(Q:Q),Q50)+IF(R50="",AVERAGE(R:R),R50)+IF(S50="",AVERAGE(S:S),S50), 4-(1+INT(LOG10(ABS(IF(L50="",AVERAGE(L:L),L50)+IF(M50="",AVERAGE(M:M),M50)+IF(N50="",AVERAGE(N:N),N50)+IF(O50="",AVERAGE(O:O),O50)+IF(P50="",AVERAGE(P:P),P50)+IF(Q50="",AVERAGE(Q:Q),Q50)+IF(R50="",AVERAGE(R:R),R50)+IF(S50="",AVERAGE(S:S),S50))))))</f>
        <v>2029</v>
      </c>
    </row>
    <row r="51" spans="1:20" x14ac:dyDescent="0.3">
      <c r="A51" s="1">
        <v>45885.640543981484</v>
      </c>
      <c r="B51">
        <v>1755372143</v>
      </c>
      <c r="C51">
        <v>2.1</v>
      </c>
      <c r="E51">
        <v>3.1</v>
      </c>
      <c r="F51">
        <v>1.8833299999999999</v>
      </c>
      <c r="G51">
        <v>0.68332999999999999</v>
      </c>
      <c r="H51">
        <v>5.75</v>
      </c>
      <c r="I51">
        <v>3.25</v>
      </c>
      <c r="J51">
        <v>10.18333</v>
      </c>
      <c r="K51" s="2"/>
      <c r="L51">
        <f>IF(C51="","",C51*60)</f>
        <v>126</v>
      </c>
      <c r="M51" t="str">
        <f>IF(D51="","",D51*60)</f>
        <v/>
      </c>
      <c r="N51">
        <f>IF(E51="","",E51*60)</f>
        <v>186</v>
      </c>
      <c r="O51">
        <f>IF(F51="","",F51*60)</f>
        <v>112.99979999999999</v>
      </c>
      <c r="P51">
        <f>IF(G51="","",G51*60)</f>
        <v>40.9998</v>
      </c>
      <c r="Q51">
        <f>IF(H51="","",H51*60)</f>
        <v>345</v>
      </c>
      <c r="R51">
        <f>IF(I51="","",I51*60)</f>
        <v>195</v>
      </c>
      <c r="S51">
        <f>IF(J51="","",J51*60)</f>
        <v>610.99979999999994</v>
      </c>
      <c r="T51" s="3">
        <f>ROUND(IF(L51="",AVERAGE(L:L),L51)+IF(M51="",AVERAGE(M:M),M51)+IF(N51="",AVERAGE(N:N),N51)+IF(O51="",AVERAGE(O:O),O51)+IF(P51="",AVERAGE(P:P),P51)+IF(Q51="",AVERAGE(Q:Q),Q51)+IF(R51="",AVERAGE(R:R),R51)+IF(S51="",AVERAGE(S:S),S51), 4-(1+INT(LOG10(ABS(IF(L51="",AVERAGE(L:L),L51)+IF(M51="",AVERAGE(M:M),M51)+IF(N51="",AVERAGE(N:N),N51)+IF(O51="",AVERAGE(O:O),O51)+IF(P51="",AVERAGE(P:P),P51)+IF(Q51="",AVERAGE(Q:Q),Q51)+IF(R51="",AVERAGE(R:R),R51)+IF(S51="",AVERAGE(S:S),S51))))))</f>
        <v>2110</v>
      </c>
    </row>
    <row r="52" spans="1:20" x14ac:dyDescent="0.3">
      <c r="A52" s="1">
        <v>45885.66443287037</v>
      </c>
      <c r="B52">
        <v>1755374207</v>
      </c>
      <c r="C52">
        <v>2.1333299999999999</v>
      </c>
      <c r="E52">
        <v>2.8</v>
      </c>
      <c r="F52">
        <v>1.93333</v>
      </c>
      <c r="G52">
        <v>0.68332999999999999</v>
      </c>
      <c r="H52">
        <v>5.25</v>
      </c>
      <c r="I52">
        <v>3.4</v>
      </c>
      <c r="J52">
        <v>9.1833299999999998</v>
      </c>
      <c r="K52" s="2"/>
      <c r="L52">
        <f>IF(C52="","",C52*60)</f>
        <v>127.99979999999999</v>
      </c>
      <c r="M52" t="str">
        <f>IF(D52="","",D52*60)</f>
        <v/>
      </c>
      <c r="N52">
        <f>IF(E52="","",E52*60)</f>
        <v>168</v>
      </c>
      <c r="O52">
        <f>IF(F52="","",F52*60)</f>
        <v>115.99979999999999</v>
      </c>
      <c r="P52">
        <f>IF(G52="","",G52*60)</f>
        <v>40.9998</v>
      </c>
      <c r="Q52">
        <f>IF(H52="","",H52*60)</f>
        <v>315</v>
      </c>
      <c r="R52">
        <f>IF(I52="","",I52*60)</f>
        <v>204</v>
      </c>
      <c r="S52">
        <f>IF(J52="","",J52*60)</f>
        <v>550.99979999999994</v>
      </c>
      <c r="T52" s="3">
        <f>ROUND(IF(L52="",AVERAGE(L:L),L52)+IF(M52="",AVERAGE(M:M),M52)+IF(N52="",AVERAGE(N:N),N52)+IF(O52="",AVERAGE(O:O),O52)+IF(P52="",AVERAGE(P:P),P52)+IF(Q52="",AVERAGE(Q:Q),Q52)+IF(R52="",AVERAGE(R:R),R52)+IF(S52="",AVERAGE(S:S),S52), 4-(1+INT(LOG10(ABS(IF(L52="",AVERAGE(L:L),L52)+IF(M52="",AVERAGE(M:M),M52)+IF(N52="",AVERAGE(N:N),N52)+IF(O52="",AVERAGE(O:O),O52)+IF(P52="",AVERAGE(P:P),P52)+IF(Q52="",AVERAGE(Q:Q),Q52)+IF(R52="",AVERAGE(R:R),R52)+IF(S52="",AVERAGE(S:S),S52))))))</f>
        <v>2016</v>
      </c>
    </row>
    <row r="53" spans="1:20" x14ac:dyDescent="0.3">
      <c r="A53" s="1">
        <v>45885.692314814813</v>
      </c>
      <c r="B53">
        <v>1755376616</v>
      </c>
      <c r="C53">
        <v>2.6</v>
      </c>
      <c r="E53">
        <v>3.5333299999999999</v>
      </c>
      <c r="F53">
        <v>2.2000000000000002</v>
      </c>
      <c r="G53">
        <v>0.71665999999999996</v>
      </c>
      <c r="H53">
        <v>5.6833299999999998</v>
      </c>
      <c r="I53">
        <v>3.9666600000000001</v>
      </c>
      <c r="J53">
        <v>9.7333300000000005</v>
      </c>
      <c r="K53" s="2"/>
      <c r="L53">
        <f>IF(C53="","",C53*60)</f>
        <v>156</v>
      </c>
      <c r="M53" t="str">
        <f>IF(D53="","",D53*60)</f>
        <v/>
      </c>
      <c r="N53">
        <f>IF(E53="","",E53*60)</f>
        <v>211.99979999999999</v>
      </c>
      <c r="O53">
        <f>IF(F53="","",F53*60)</f>
        <v>132</v>
      </c>
      <c r="P53">
        <f>IF(G53="","",G53*60)</f>
        <v>42.999600000000001</v>
      </c>
      <c r="Q53">
        <f>IF(H53="","",H53*60)</f>
        <v>340.99979999999999</v>
      </c>
      <c r="R53">
        <f>IF(I53="","",I53*60)</f>
        <v>237.99960000000002</v>
      </c>
      <c r="S53">
        <f>IF(J53="","",J53*60)</f>
        <v>583.99980000000005</v>
      </c>
      <c r="T53" s="3">
        <f>ROUND(IF(L53="",AVERAGE(L:L),L53)+IF(M53="",AVERAGE(M:M),M53)+IF(N53="",AVERAGE(N:N),N53)+IF(O53="",AVERAGE(O:O),O53)+IF(P53="",AVERAGE(P:P),P53)+IF(Q53="",AVERAGE(Q:Q),Q53)+IF(R53="",AVERAGE(R:R),R53)+IF(S53="",AVERAGE(S:S),S53), 4-(1+INT(LOG10(ABS(IF(L53="",AVERAGE(L:L),L53)+IF(M53="",AVERAGE(M:M),M53)+IF(N53="",AVERAGE(N:N),N53)+IF(O53="",AVERAGE(O:O),O53)+IF(P53="",AVERAGE(P:P),P53)+IF(Q53="",AVERAGE(Q:Q),Q53)+IF(R53="",AVERAGE(R:R),R53)+IF(S53="",AVERAGE(S:S),S53))))))</f>
        <v>2199</v>
      </c>
    </row>
    <row r="54" spans="1:20" x14ac:dyDescent="0.3">
      <c r="A54" s="1">
        <v>45885.721030092594</v>
      </c>
      <c r="B54">
        <v>1755379097</v>
      </c>
      <c r="C54">
        <v>2.5</v>
      </c>
      <c r="E54">
        <v>3.2166600000000001</v>
      </c>
      <c r="F54">
        <v>2.5333299999999999</v>
      </c>
      <c r="G54">
        <v>0.86665999999999999</v>
      </c>
      <c r="H54">
        <v>6.6166600000000004</v>
      </c>
      <c r="I54">
        <v>3.75</v>
      </c>
      <c r="J54">
        <v>9.2666599999999999</v>
      </c>
      <c r="K54" s="2"/>
      <c r="L54">
        <f>IF(C54="","",C54*60)</f>
        <v>150</v>
      </c>
      <c r="M54" t="str">
        <f>IF(D54="","",D54*60)</f>
        <v/>
      </c>
      <c r="N54">
        <f>IF(E54="","",E54*60)</f>
        <v>192.99960000000002</v>
      </c>
      <c r="O54">
        <f>IF(F54="","",F54*60)</f>
        <v>151.99979999999999</v>
      </c>
      <c r="P54">
        <f>IF(G54="","",G54*60)</f>
        <v>51.999600000000001</v>
      </c>
      <c r="Q54">
        <f>IF(H54="","",H54*60)</f>
        <v>396.99960000000004</v>
      </c>
      <c r="R54">
        <f>IF(I54="","",I54*60)</f>
        <v>225</v>
      </c>
      <c r="S54">
        <f>IF(J54="","",J54*60)</f>
        <v>555.99959999999999</v>
      </c>
      <c r="T54" s="3">
        <f>ROUND(IF(L54="",AVERAGE(L:L),L54)+IF(M54="",AVERAGE(M:M),M54)+IF(N54="",AVERAGE(N:N),N54)+IF(O54="",AVERAGE(O:O),O54)+IF(P54="",AVERAGE(P:P),P54)+IF(Q54="",AVERAGE(Q:Q),Q54)+IF(R54="",AVERAGE(R:R),R54)+IF(S54="",AVERAGE(S:S),S54), 4-(1+INT(LOG10(ABS(IF(L54="",AVERAGE(L:L),L54)+IF(M54="",AVERAGE(M:M),M54)+IF(N54="",AVERAGE(N:N),N54)+IF(O54="",AVERAGE(O:O),O54)+IF(P54="",AVERAGE(P:P),P54)+IF(Q54="",AVERAGE(Q:Q),Q54)+IF(R54="",AVERAGE(R:R),R54)+IF(S54="",AVERAGE(S:S),S54))))))</f>
        <v>2218</v>
      </c>
    </row>
    <row r="55" spans="1:20" x14ac:dyDescent="0.3">
      <c r="A55" s="1">
        <v>45885.74596064815</v>
      </c>
      <c r="B55">
        <v>1755381251</v>
      </c>
      <c r="C55">
        <v>2.15</v>
      </c>
      <c r="E55">
        <v>2.75</v>
      </c>
      <c r="F55">
        <v>2.2166600000000001</v>
      </c>
      <c r="G55">
        <v>0.7</v>
      </c>
      <c r="H55">
        <v>5.3333300000000001</v>
      </c>
      <c r="I55">
        <v>3.1833300000000002</v>
      </c>
      <c r="J55">
        <v>10.1</v>
      </c>
      <c r="K55" s="2"/>
      <c r="L55">
        <f>IF(C55="","",C55*60)</f>
        <v>129</v>
      </c>
      <c r="M55" t="str">
        <f>IF(D55="","",D55*60)</f>
        <v/>
      </c>
      <c r="N55">
        <f>IF(E55="","",E55*60)</f>
        <v>165</v>
      </c>
      <c r="O55">
        <f>IF(F55="","",F55*60)</f>
        <v>132.99960000000002</v>
      </c>
      <c r="P55">
        <f>IF(G55="","",G55*60)</f>
        <v>42</v>
      </c>
      <c r="Q55">
        <f>IF(H55="","",H55*60)</f>
        <v>319.99979999999999</v>
      </c>
      <c r="R55">
        <f>IF(I55="","",I55*60)</f>
        <v>190.99980000000002</v>
      </c>
      <c r="S55">
        <f>IF(J55="","",J55*60)</f>
        <v>606</v>
      </c>
      <c r="T55" s="3">
        <f>ROUND(IF(L55="",AVERAGE(L:L),L55)+IF(M55="",AVERAGE(M:M),M55)+IF(N55="",AVERAGE(N:N),N55)+IF(O55="",AVERAGE(O:O),O55)+IF(P55="",AVERAGE(P:P),P55)+IF(Q55="",AVERAGE(Q:Q),Q55)+IF(R55="",AVERAGE(R:R),R55)+IF(S55="",AVERAGE(S:S),S55), 4-(1+INT(LOG10(ABS(IF(L55="",AVERAGE(L:L),L55)+IF(M55="",AVERAGE(M:M),M55)+IF(N55="",AVERAGE(N:N),N55)+IF(O55="",AVERAGE(O:O),O55)+IF(P55="",AVERAGE(P:P),P55)+IF(Q55="",AVERAGE(Q:Q),Q55)+IF(R55="",AVERAGE(R:R),R55)+IF(S55="",AVERAGE(S:S),S55))))))</f>
        <v>2079</v>
      </c>
    </row>
    <row r="56" spans="1:20" x14ac:dyDescent="0.3">
      <c r="A56" s="1">
        <v>45885.772129629629</v>
      </c>
      <c r="B56">
        <v>1755383512</v>
      </c>
      <c r="C56">
        <v>2.1333299999999999</v>
      </c>
      <c r="E56">
        <v>2.8</v>
      </c>
      <c r="F56">
        <v>1.8833299999999999</v>
      </c>
      <c r="G56">
        <v>0.88332999999999995</v>
      </c>
      <c r="H56">
        <v>6.2833300000000003</v>
      </c>
      <c r="I56">
        <v>3.3333300000000001</v>
      </c>
      <c r="J56">
        <v>9.8000000000000007</v>
      </c>
      <c r="K56" s="2"/>
      <c r="L56">
        <f>IF(C56="","",C56*60)</f>
        <v>127.99979999999999</v>
      </c>
      <c r="M56" t="str">
        <f>IF(D56="","",D56*60)</f>
        <v/>
      </c>
      <c r="N56">
        <f>IF(E56="","",E56*60)</f>
        <v>168</v>
      </c>
      <c r="O56">
        <f>IF(F56="","",F56*60)</f>
        <v>112.99979999999999</v>
      </c>
      <c r="P56">
        <f>IF(G56="","",G56*60)</f>
        <v>52.999799999999993</v>
      </c>
      <c r="Q56">
        <f>IF(H56="","",H56*60)</f>
        <v>376.99979999999999</v>
      </c>
      <c r="R56">
        <f>IF(I56="","",I56*60)</f>
        <v>199.99979999999999</v>
      </c>
      <c r="S56">
        <f>IF(J56="","",J56*60)</f>
        <v>588</v>
      </c>
      <c r="T56" s="3">
        <f>ROUND(IF(L56="",AVERAGE(L:L),L56)+IF(M56="",AVERAGE(M:M),M56)+IF(N56="",AVERAGE(N:N),N56)+IF(O56="",AVERAGE(O:O),O56)+IF(P56="",AVERAGE(P:P),P56)+IF(Q56="",AVERAGE(Q:Q),Q56)+IF(R56="",AVERAGE(R:R),R56)+IF(S56="",AVERAGE(S:S),S56), 4-(1+INT(LOG10(ABS(IF(L56="",AVERAGE(L:L),L56)+IF(M56="",AVERAGE(M:M),M56)+IF(N56="",AVERAGE(N:N),N56)+IF(O56="",AVERAGE(O:O),O56)+IF(P56="",AVERAGE(P:P),P56)+IF(Q56="",AVERAGE(Q:Q),Q56)+IF(R56="",AVERAGE(R:R),R56)+IF(S56="",AVERAGE(S:S),S56))))))</f>
        <v>2120</v>
      </c>
    </row>
    <row r="57" spans="1:20" x14ac:dyDescent="0.3">
      <c r="A57" s="1">
        <v>45885.797071759262</v>
      </c>
      <c r="B57">
        <v>1755385667</v>
      </c>
      <c r="C57">
        <v>2.1</v>
      </c>
      <c r="E57">
        <v>2.7666599999999999</v>
      </c>
      <c r="F57">
        <v>1.86666</v>
      </c>
      <c r="G57">
        <v>0.73333000000000004</v>
      </c>
      <c r="H57">
        <v>5.05</v>
      </c>
      <c r="I57">
        <v>3.4666600000000001</v>
      </c>
      <c r="J57">
        <v>9.5833300000000001</v>
      </c>
      <c r="K57" s="2"/>
      <c r="L57">
        <f>IF(C57="","",C57*60)</f>
        <v>126</v>
      </c>
      <c r="M57" t="str">
        <f>IF(D57="","",D57*60)</f>
        <v/>
      </c>
      <c r="N57">
        <f>IF(E57="","",E57*60)</f>
        <v>165.99959999999999</v>
      </c>
      <c r="O57">
        <f>IF(F57="","",F57*60)</f>
        <v>111.9996</v>
      </c>
      <c r="P57">
        <f>IF(G57="","",G57*60)</f>
        <v>43.9998</v>
      </c>
      <c r="Q57">
        <f>IF(H57="","",H57*60)</f>
        <v>303</v>
      </c>
      <c r="R57">
        <f>IF(I57="","",I57*60)</f>
        <v>207.99960000000002</v>
      </c>
      <c r="S57">
        <f>IF(J57="","",J57*60)</f>
        <v>574.99980000000005</v>
      </c>
      <c r="T57" s="3">
        <f>ROUND(IF(L57="",AVERAGE(L:L),L57)+IF(M57="",AVERAGE(M:M),M57)+IF(N57="",AVERAGE(N:N),N57)+IF(O57="",AVERAGE(O:O),O57)+IF(P57="",AVERAGE(P:P),P57)+IF(Q57="",AVERAGE(Q:Q),Q57)+IF(R57="",AVERAGE(R:R),R57)+IF(S57="",AVERAGE(S:S),S57), 4-(1+INT(LOG10(ABS(IF(L57="",AVERAGE(L:L),L57)+IF(M57="",AVERAGE(M:M),M57)+IF(N57="",AVERAGE(N:N),N57)+IF(O57="",AVERAGE(O:O),O57)+IF(P57="",AVERAGE(P:P),P57)+IF(Q57="",AVERAGE(Q:Q),Q57)+IF(R57="",AVERAGE(R:R),R57)+IF(S57="",AVERAGE(S:S),S57))))))</f>
        <v>2027</v>
      </c>
    </row>
    <row r="58" spans="1:20" x14ac:dyDescent="0.3">
      <c r="A58" s="1">
        <v>45885.821226851855</v>
      </c>
      <c r="B58">
        <v>1755387754</v>
      </c>
      <c r="C58">
        <v>2.2166600000000001</v>
      </c>
      <c r="E58">
        <v>2.85</v>
      </c>
      <c r="F58">
        <v>2.25</v>
      </c>
      <c r="G58">
        <v>0.7</v>
      </c>
      <c r="H58">
        <v>5.2</v>
      </c>
      <c r="I58">
        <v>3.25</v>
      </c>
      <c r="J58">
        <v>9.1833299999999998</v>
      </c>
      <c r="K58" s="2"/>
      <c r="L58">
        <f>IF(C58="","",C58*60)</f>
        <v>132.99960000000002</v>
      </c>
      <c r="M58" t="str">
        <f>IF(D58="","",D58*60)</f>
        <v/>
      </c>
      <c r="N58">
        <f>IF(E58="","",E58*60)</f>
        <v>171</v>
      </c>
      <c r="O58">
        <f>IF(F58="","",F58*60)</f>
        <v>135</v>
      </c>
      <c r="P58">
        <f>IF(G58="","",G58*60)</f>
        <v>42</v>
      </c>
      <c r="Q58">
        <f>IF(H58="","",H58*60)</f>
        <v>312</v>
      </c>
      <c r="R58">
        <f>IF(I58="","",I58*60)</f>
        <v>195</v>
      </c>
      <c r="S58">
        <f>IF(J58="","",J58*60)</f>
        <v>550.99979999999994</v>
      </c>
      <c r="T58" s="3">
        <f>ROUND(IF(L58="",AVERAGE(L:L),L58)+IF(M58="",AVERAGE(M:M),M58)+IF(N58="",AVERAGE(N:N),N58)+IF(O58="",AVERAGE(O:O),O58)+IF(P58="",AVERAGE(P:P),P58)+IF(Q58="",AVERAGE(Q:Q),Q58)+IF(R58="",AVERAGE(R:R),R58)+IF(S58="",AVERAGE(S:S),S58), 4-(1+INT(LOG10(ABS(IF(L58="",AVERAGE(L:L),L58)+IF(M58="",AVERAGE(M:M),M58)+IF(N58="",AVERAGE(N:N),N58)+IF(O58="",AVERAGE(O:O),O58)+IF(P58="",AVERAGE(P:P),P58)+IF(Q58="",AVERAGE(Q:Q),Q58)+IF(R58="",AVERAGE(R:R),R58)+IF(S58="",AVERAGE(S:S),S58))))))</f>
        <v>2032</v>
      </c>
    </row>
    <row r="59" spans="1:20" x14ac:dyDescent="0.3">
      <c r="A59" s="1">
        <v>45885.846539351849</v>
      </c>
      <c r="B59">
        <v>1755389941</v>
      </c>
      <c r="C59">
        <v>2.11666</v>
      </c>
      <c r="E59">
        <v>2.7666599999999999</v>
      </c>
      <c r="F59">
        <v>1.8833299999999999</v>
      </c>
      <c r="G59">
        <v>0.7</v>
      </c>
      <c r="H59">
        <v>5.1833299999999998</v>
      </c>
      <c r="I59">
        <v>3.2666599999999999</v>
      </c>
      <c r="J59">
        <v>9.8333300000000001</v>
      </c>
      <c r="K59" s="2"/>
      <c r="L59">
        <f>IF(C59="","",C59*60)</f>
        <v>126.9996</v>
      </c>
      <c r="M59" t="str">
        <f>IF(D59="","",D59*60)</f>
        <v/>
      </c>
      <c r="N59">
        <f>IF(E59="","",E59*60)</f>
        <v>165.99959999999999</v>
      </c>
      <c r="O59">
        <f>IF(F59="","",F59*60)</f>
        <v>112.99979999999999</v>
      </c>
      <c r="P59">
        <f>IF(G59="","",G59*60)</f>
        <v>42</v>
      </c>
      <c r="Q59">
        <f>IF(H59="","",H59*60)</f>
        <v>310.99979999999999</v>
      </c>
      <c r="R59">
        <f>IF(I59="","",I59*60)</f>
        <v>195.99959999999999</v>
      </c>
      <c r="S59">
        <f>IF(J59="","",J59*60)</f>
        <v>589.99980000000005</v>
      </c>
      <c r="T59" s="3">
        <f>ROUND(IF(L59="",AVERAGE(L:L),L59)+IF(M59="",AVERAGE(M:M),M59)+IF(N59="",AVERAGE(N:N),N59)+IF(O59="",AVERAGE(O:O),O59)+IF(P59="",AVERAGE(P:P),P59)+IF(Q59="",AVERAGE(Q:Q),Q59)+IF(R59="",AVERAGE(R:R),R59)+IF(S59="",AVERAGE(S:S),S59), 4-(1+INT(LOG10(ABS(IF(L59="",AVERAGE(L:L),L59)+IF(M59="",AVERAGE(M:M),M59)+IF(N59="",AVERAGE(N:N),N59)+IF(O59="",AVERAGE(O:O),O59)+IF(P59="",AVERAGE(P:P),P59)+IF(Q59="",AVERAGE(Q:Q),Q59)+IF(R59="",AVERAGE(R:R),R59)+IF(S59="",AVERAGE(S:S),S59))))))</f>
        <v>2038</v>
      </c>
    </row>
    <row r="60" spans="1:20" x14ac:dyDescent="0.3">
      <c r="A60" s="1">
        <v>45885.870474537034</v>
      </c>
      <c r="B60">
        <v>1755392009</v>
      </c>
      <c r="C60">
        <v>2.15</v>
      </c>
      <c r="E60">
        <v>2.7833299999999999</v>
      </c>
      <c r="F60">
        <v>1.8833299999999999</v>
      </c>
      <c r="G60">
        <v>0.71665999999999996</v>
      </c>
      <c r="H60">
        <v>5.15</v>
      </c>
      <c r="I60">
        <v>3.2666599999999999</v>
      </c>
      <c r="J60">
        <v>9.5500000000000007</v>
      </c>
      <c r="K60" s="2"/>
      <c r="L60">
        <f>IF(C60="","",C60*60)</f>
        <v>129</v>
      </c>
      <c r="M60" t="str">
        <f>IF(D60="","",D60*60)</f>
        <v/>
      </c>
      <c r="N60">
        <f>IF(E60="","",E60*60)</f>
        <v>166.99979999999999</v>
      </c>
      <c r="O60">
        <f>IF(F60="","",F60*60)</f>
        <v>112.99979999999999</v>
      </c>
      <c r="P60">
        <f>IF(G60="","",G60*60)</f>
        <v>42.999600000000001</v>
      </c>
      <c r="Q60">
        <f>IF(H60="","",H60*60)</f>
        <v>309</v>
      </c>
      <c r="R60">
        <f>IF(I60="","",I60*60)</f>
        <v>195.99959999999999</v>
      </c>
      <c r="S60">
        <f>IF(J60="","",J60*60)</f>
        <v>573</v>
      </c>
      <c r="T60" s="3">
        <f>ROUND(IF(L60="",AVERAGE(L:L),L60)+IF(M60="",AVERAGE(M:M),M60)+IF(N60="",AVERAGE(N:N),N60)+IF(O60="",AVERAGE(O:O),O60)+IF(P60="",AVERAGE(P:P),P60)+IF(Q60="",AVERAGE(Q:Q),Q60)+IF(R60="",AVERAGE(R:R),R60)+IF(S60="",AVERAGE(S:S),S60), 4-(1+INT(LOG10(ABS(IF(L60="",AVERAGE(L:L),L60)+IF(M60="",AVERAGE(M:M),M60)+IF(N60="",AVERAGE(N:N),N60)+IF(O60="",AVERAGE(O:O),O60)+IF(P60="",AVERAGE(P:P),P60)+IF(Q60="",AVERAGE(Q:Q),Q60)+IF(R60="",AVERAGE(R:R),R60)+IF(S60="",AVERAGE(S:S),S60))))))</f>
        <v>2023</v>
      </c>
    </row>
    <row r="61" spans="1:20" x14ac:dyDescent="0.3">
      <c r="A61" s="1">
        <v>45885.895405092589</v>
      </c>
      <c r="B61">
        <v>1755394163</v>
      </c>
      <c r="C61">
        <v>2.23333</v>
      </c>
      <c r="E61">
        <v>2.75</v>
      </c>
      <c r="F61">
        <v>2.0333299999999999</v>
      </c>
      <c r="G61">
        <v>1.1000000000000001</v>
      </c>
      <c r="H61">
        <v>5.75</v>
      </c>
      <c r="I61">
        <v>3.61666</v>
      </c>
      <c r="J61">
        <v>9.1999999999999993</v>
      </c>
      <c r="K61" s="2"/>
      <c r="L61">
        <f>IF(C61="","",C61*60)</f>
        <v>133.99979999999999</v>
      </c>
      <c r="M61" t="str">
        <f>IF(D61="","",D61*60)</f>
        <v/>
      </c>
      <c r="N61">
        <f>IF(E61="","",E61*60)</f>
        <v>165</v>
      </c>
      <c r="O61">
        <f>IF(F61="","",F61*60)</f>
        <v>121.99979999999999</v>
      </c>
      <c r="P61">
        <f>IF(G61="","",G61*60)</f>
        <v>66</v>
      </c>
      <c r="Q61">
        <f>IF(H61="","",H61*60)</f>
        <v>345</v>
      </c>
      <c r="R61">
        <f>IF(I61="","",I61*60)</f>
        <v>216.99959999999999</v>
      </c>
      <c r="S61">
        <f>IF(J61="","",J61*60)</f>
        <v>552</v>
      </c>
      <c r="T61" s="3">
        <f>ROUND(IF(L61="",AVERAGE(L:L),L61)+IF(M61="",AVERAGE(M:M),M61)+IF(N61="",AVERAGE(N:N),N61)+IF(O61="",AVERAGE(O:O),O61)+IF(P61="",AVERAGE(P:P),P61)+IF(Q61="",AVERAGE(Q:Q),Q61)+IF(R61="",AVERAGE(R:R),R61)+IF(S61="",AVERAGE(S:S),S61), 4-(1+INT(LOG10(ABS(IF(L61="",AVERAGE(L:L),L61)+IF(M61="",AVERAGE(M:M),M61)+IF(N61="",AVERAGE(N:N),N61)+IF(O61="",AVERAGE(O:O),O61)+IF(P61="",AVERAGE(P:P),P61)+IF(Q61="",AVERAGE(Q:Q),Q61)+IF(R61="",AVERAGE(R:R),R61)+IF(S61="",AVERAGE(S:S),S61))))))</f>
        <v>2094</v>
      </c>
    </row>
    <row r="62" spans="1:20" x14ac:dyDescent="0.3">
      <c r="A62" s="1">
        <v>45885.921203703707</v>
      </c>
      <c r="B62">
        <v>1755396392</v>
      </c>
      <c r="C62">
        <v>2.1666599999999998</v>
      </c>
      <c r="E62">
        <v>2.7833299999999999</v>
      </c>
      <c r="F62">
        <v>2.2999999999999998</v>
      </c>
      <c r="G62">
        <v>0.7</v>
      </c>
      <c r="H62">
        <v>6.3166599999999997</v>
      </c>
      <c r="I62">
        <v>3.4333300000000002</v>
      </c>
      <c r="J62">
        <v>10.01666</v>
      </c>
      <c r="K62" s="2"/>
      <c r="L62">
        <f>IF(C62="","",C62*60)</f>
        <v>129.99959999999999</v>
      </c>
      <c r="M62" t="str">
        <f>IF(D62="","",D62*60)</f>
        <v/>
      </c>
      <c r="N62">
        <f>IF(E62="","",E62*60)</f>
        <v>166.99979999999999</v>
      </c>
      <c r="O62">
        <f>IF(F62="","",F62*60)</f>
        <v>138</v>
      </c>
      <c r="P62">
        <f>IF(G62="","",G62*60)</f>
        <v>42</v>
      </c>
      <c r="Q62">
        <f>IF(H62="","",H62*60)</f>
        <v>378.99959999999999</v>
      </c>
      <c r="R62">
        <f>IF(I62="","",I62*60)</f>
        <v>205.99980000000002</v>
      </c>
      <c r="S62">
        <f>IF(J62="","",J62*60)</f>
        <v>600.99959999999999</v>
      </c>
      <c r="T62" s="3">
        <f>ROUND(IF(L62="",AVERAGE(L:L),L62)+IF(M62="",AVERAGE(M:M),M62)+IF(N62="",AVERAGE(N:N),N62)+IF(O62="",AVERAGE(O:O),O62)+IF(P62="",AVERAGE(P:P),P62)+IF(Q62="",AVERAGE(Q:Q),Q62)+IF(R62="",AVERAGE(R:R),R62)+IF(S62="",AVERAGE(S:S),S62), 4-(1+INT(LOG10(ABS(IF(L62="",AVERAGE(L:L),L62)+IF(M62="",AVERAGE(M:M),M62)+IF(N62="",AVERAGE(N:N),N62)+IF(O62="",AVERAGE(O:O),O62)+IF(P62="",AVERAGE(P:P),P62)+IF(Q62="",AVERAGE(Q:Q),Q62)+IF(R62="",AVERAGE(R:R),R62)+IF(S62="",AVERAGE(S:S),S62))))))</f>
        <v>2156</v>
      </c>
    </row>
    <row r="63" spans="1:20" x14ac:dyDescent="0.3">
      <c r="A63" s="1">
        <v>45885.948067129626</v>
      </c>
      <c r="B63">
        <v>1755398713</v>
      </c>
      <c r="C63">
        <v>2.2999999999999998</v>
      </c>
      <c r="E63">
        <v>3.2</v>
      </c>
      <c r="F63">
        <v>2</v>
      </c>
      <c r="G63">
        <v>0.73333000000000004</v>
      </c>
      <c r="H63">
        <v>6.45</v>
      </c>
      <c r="I63">
        <v>3.9166599999999998</v>
      </c>
      <c r="J63">
        <v>9.2333300000000005</v>
      </c>
      <c r="K63" s="2"/>
      <c r="L63">
        <f>IF(C63="","",C63*60)</f>
        <v>138</v>
      </c>
      <c r="M63" t="str">
        <f>IF(D63="","",D63*60)</f>
        <v/>
      </c>
      <c r="N63">
        <f>IF(E63="","",E63*60)</f>
        <v>192</v>
      </c>
      <c r="O63">
        <f>IF(F63="","",F63*60)</f>
        <v>120</v>
      </c>
      <c r="P63">
        <f>IF(G63="","",G63*60)</f>
        <v>43.9998</v>
      </c>
      <c r="Q63">
        <f>IF(H63="","",H63*60)</f>
        <v>387</v>
      </c>
      <c r="R63">
        <f>IF(I63="","",I63*60)</f>
        <v>234.99959999999999</v>
      </c>
      <c r="S63">
        <f>IF(J63="","",J63*60)</f>
        <v>553.99980000000005</v>
      </c>
      <c r="T63" s="3">
        <f>ROUND(IF(L63="",AVERAGE(L:L),L63)+IF(M63="",AVERAGE(M:M),M63)+IF(N63="",AVERAGE(N:N),N63)+IF(O63="",AVERAGE(O:O),O63)+IF(P63="",AVERAGE(P:P),P63)+IF(Q63="",AVERAGE(Q:Q),Q63)+IF(R63="",AVERAGE(R:R),R63)+IF(S63="",AVERAGE(S:S),S63), 4-(1+INT(LOG10(ABS(IF(L63="",AVERAGE(L:L),L63)+IF(M63="",AVERAGE(M:M),M63)+IF(N63="",AVERAGE(N:N),N63)+IF(O63="",AVERAGE(O:O),O63)+IF(P63="",AVERAGE(P:P),P63)+IF(Q63="",AVERAGE(Q:Q),Q63)+IF(R63="",AVERAGE(R:R),R63)+IF(S63="",AVERAGE(S:S),S63))))))</f>
        <v>2163</v>
      </c>
    </row>
    <row r="64" spans="1:20" x14ac:dyDescent="0.3">
      <c r="A64" s="1">
        <v>45885.973553240743</v>
      </c>
      <c r="B64">
        <v>1755400915</v>
      </c>
      <c r="C64">
        <v>2.5166599999999999</v>
      </c>
      <c r="E64">
        <v>2.86666</v>
      </c>
      <c r="F64">
        <v>2.3333300000000001</v>
      </c>
      <c r="G64">
        <v>0.75</v>
      </c>
      <c r="H64">
        <v>5.3</v>
      </c>
      <c r="I64">
        <v>3.2166600000000001</v>
      </c>
      <c r="J64">
        <v>9.35</v>
      </c>
      <c r="K64" s="2"/>
      <c r="L64">
        <f>IF(C64="","",C64*60)</f>
        <v>150.99959999999999</v>
      </c>
      <c r="M64" t="str">
        <f>IF(D64="","",D64*60)</f>
        <v/>
      </c>
      <c r="N64">
        <f>IF(E64="","",E64*60)</f>
        <v>171.99959999999999</v>
      </c>
      <c r="O64">
        <f>IF(F64="","",F64*60)</f>
        <v>139.99979999999999</v>
      </c>
      <c r="P64">
        <f>IF(G64="","",G64*60)</f>
        <v>45</v>
      </c>
      <c r="Q64">
        <f>IF(H64="","",H64*60)</f>
        <v>318</v>
      </c>
      <c r="R64">
        <f>IF(I64="","",I64*60)</f>
        <v>192.99960000000002</v>
      </c>
      <c r="S64">
        <f>IF(J64="","",J64*60)</f>
        <v>561</v>
      </c>
      <c r="T64" s="3">
        <f>ROUND(IF(L64="",AVERAGE(L:L),L64)+IF(M64="",AVERAGE(M:M),M64)+IF(N64="",AVERAGE(N:N),N64)+IF(O64="",AVERAGE(O:O),O64)+IF(P64="",AVERAGE(P:P),P64)+IF(Q64="",AVERAGE(Q:Q),Q64)+IF(R64="",AVERAGE(R:R),R64)+IF(S64="",AVERAGE(S:S),S64), 4-(1+INT(LOG10(ABS(IF(L64="",AVERAGE(L:L),L64)+IF(M64="",AVERAGE(M:M),M64)+IF(N64="",AVERAGE(N:N),N64)+IF(O64="",AVERAGE(O:O),O64)+IF(P64="",AVERAGE(P:P),P64)+IF(Q64="",AVERAGE(Q:Q),Q64)+IF(R64="",AVERAGE(R:R),R64)+IF(S64="",AVERAGE(S:S),S64))))))</f>
        <v>2073</v>
      </c>
    </row>
    <row r="65" spans="1:20" x14ac:dyDescent="0.3">
      <c r="A65" s="1">
        <v>45885.996678240743</v>
      </c>
      <c r="B65">
        <v>1755402913</v>
      </c>
      <c r="C65">
        <v>2.11666</v>
      </c>
      <c r="E65">
        <v>2.7666599999999999</v>
      </c>
      <c r="F65">
        <v>1.85</v>
      </c>
      <c r="G65">
        <v>0.7</v>
      </c>
      <c r="H65">
        <v>5.0999999999999996</v>
      </c>
      <c r="I65">
        <v>3.2833299999999999</v>
      </c>
      <c r="J65">
        <v>8.9333299999999998</v>
      </c>
      <c r="K65" s="2"/>
      <c r="L65">
        <f>IF(C65="","",C65*60)</f>
        <v>126.9996</v>
      </c>
      <c r="M65" t="str">
        <f>IF(D65="","",D65*60)</f>
        <v/>
      </c>
      <c r="N65">
        <f>IF(E65="","",E65*60)</f>
        <v>165.99959999999999</v>
      </c>
      <c r="O65">
        <f>IF(F65="","",F65*60)</f>
        <v>111</v>
      </c>
      <c r="P65">
        <f>IF(G65="","",G65*60)</f>
        <v>42</v>
      </c>
      <c r="Q65">
        <f>IF(H65="","",H65*60)</f>
        <v>306</v>
      </c>
      <c r="R65">
        <f>IF(I65="","",I65*60)</f>
        <v>196.99979999999999</v>
      </c>
      <c r="S65">
        <f>IF(J65="","",J65*60)</f>
        <v>535.99979999999994</v>
      </c>
      <c r="T65" s="3">
        <f>ROUND(IF(L65="",AVERAGE(L:L),L65)+IF(M65="",AVERAGE(M:M),M65)+IF(N65="",AVERAGE(N:N),N65)+IF(O65="",AVERAGE(O:O),O65)+IF(P65="",AVERAGE(P:P),P65)+IF(Q65="",AVERAGE(Q:Q),Q65)+IF(R65="",AVERAGE(R:R),R65)+IF(S65="",AVERAGE(S:S),S65), 4-(1+INT(LOG10(ABS(IF(L65="",AVERAGE(L:L),L65)+IF(M65="",AVERAGE(M:M),M65)+IF(N65="",AVERAGE(N:N),N65)+IF(O65="",AVERAGE(O:O),O65)+IF(P65="",AVERAGE(P:P),P65)+IF(Q65="",AVERAGE(Q:Q),Q65)+IF(R65="",AVERAGE(R:R),R65)+IF(S65="",AVERAGE(S:S),S65))))))</f>
        <v>1978</v>
      </c>
    </row>
    <row r="66" spans="1:20" x14ac:dyDescent="0.3">
      <c r="A66" s="1">
        <v>45886.020578703705</v>
      </c>
      <c r="B66">
        <v>1755404978</v>
      </c>
      <c r="C66">
        <v>2.2166600000000001</v>
      </c>
      <c r="E66">
        <v>3.2</v>
      </c>
      <c r="F66">
        <v>1.91666</v>
      </c>
      <c r="G66">
        <v>0.68332999999999999</v>
      </c>
      <c r="H66">
        <v>6.0833300000000001</v>
      </c>
      <c r="I66">
        <v>3.3</v>
      </c>
      <c r="J66">
        <v>8.7833299999999994</v>
      </c>
      <c r="K66" s="2"/>
      <c r="L66">
        <f>IF(C66="","",C66*60)</f>
        <v>132.99960000000002</v>
      </c>
      <c r="M66" t="str">
        <f>IF(D66="","",D66*60)</f>
        <v/>
      </c>
      <c r="N66">
        <f>IF(E66="","",E66*60)</f>
        <v>192</v>
      </c>
      <c r="O66">
        <f>IF(F66="","",F66*60)</f>
        <v>114.9996</v>
      </c>
      <c r="P66">
        <f>IF(G66="","",G66*60)</f>
        <v>40.9998</v>
      </c>
      <c r="Q66">
        <f>IF(H66="","",H66*60)</f>
        <v>364.99979999999999</v>
      </c>
      <c r="R66">
        <f>IF(I66="","",I66*60)</f>
        <v>198</v>
      </c>
      <c r="S66">
        <f>IF(J66="","",J66*60)</f>
        <v>526.99979999999994</v>
      </c>
      <c r="T66" s="3">
        <f>ROUND(IF(L66="",AVERAGE(L:L),L66)+IF(M66="",AVERAGE(M:M),M66)+IF(N66="",AVERAGE(N:N),N66)+IF(O66="",AVERAGE(O:O),O66)+IF(P66="",AVERAGE(P:P),P66)+IF(Q66="",AVERAGE(Q:Q),Q66)+IF(R66="",AVERAGE(R:R),R66)+IF(S66="",AVERAGE(S:S),S66), 4-(1+INT(LOG10(ABS(IF(L66="",AVERAGE(L:L),L66)+IF(M66="",AVERAGE(M:M),M66)+IF(N66="",AVERAGE(N:N),N66)+IF(O66="",AVERAGE(O:O),O66)+IF(P66="",AVERAGE(P:P),P66)+IF(Q66="",AVERAGE(Q:Q),Q66)+IF(R66="",AVERAGE(R:R),R66)+IF(S66="",AVERAGE(S:S),S66))))))</f>
        <v>2064</v>
      </c>
    </row>
    <row r="67" spans="1:20" x14ac:dyDescent="0.3">
      <c r="A67" s="1">
        <v>45886.041909722226</v>
      </c>
      <c r="B67">
        <v>1755406821</v>
      </c>
      <c r="C67">
        <v>2.0499999999999998</v>
      </c>
      <c r="E67">
        <v>3.1333299999999999</v>
      </c>
      <c r="F67">
        <v>1.9</v>
      </c>
      <c r="G67">
        <v>0.7</v>
      </c>
      <c r="H67">
        <v>5.1666600000000003</v>
      </c>
      <c r="I67">
        <v>3.36666</v>
      </c>
      <c r="J67">
        <v>9.0833300000000001</v>
      </c>
      <c r="K67" s="2"/>
      <c r="L67">
        <f>IF(C67="","",C67*60)</f>
        <v>122.99999999999999</v>
      </c>
      <c r="M67" t="str">
        <f>IF(D67="","",D67*60)</f>
        <v/>
      </c>
      <c r="N67">
        <f>IF(E67="","",E67*60)</f>
        <v>187.99979999999999</v>
      </c>
      <c r="O67">
        <f>IF(F67="","",F67*60)</f>
        <v>114</v>
      </c>
      <c r="P67">
        <f>IF(G67="","",G67*60)</f>
        <v>42</v>
      </c>
      <c r="Q67">
        <f>IF(H67="","",H67*60)</f>
        <v>309.99959999999999</v>
      </c>
      <c r="R67">
        <f>IF(I67="","",I67*60)</f>
        <v>201.99959999999999</v>
      </c>
      <c r="S67">
        <f>IF(J67="","",J67*60)</f>
        <v>544.99980000000005</v>
      </c>
      <c r="T67" s="3">
        <f>ROUND(IF(L67="",AVERAGE(L:L),L67)+IF(M67="",AVERAGE(M:M),M67)+IF(N67="",AVERAGE(N:N),N67)+IF(O67="",AVERAGE(O:O),O67)+IF(P67="",AVERAGE(P:P),P67)+IF(Q67="",AVERAGE(Q:Q),Q67)+IF(R67="",AVERAGE(R:R),R67)+IF(S67="",AVERAGE(S:S),S67), 4-(1+INT(LOG10(ABS(IF(L67="",AVERAGE(L:L),L67)+IF(M67="",AVERAGE(M:M),M67)+IF(N67="",AVERAGE(N:N),N67)+IF(O67="",AVERAGE(O:O),O67)+IF(P67="",AVERAGE(P:P),P67)+IF(Q67="",AVERAGE(Q:Q),Q67)+IF(R67="",AVERAGE(R:R),R67)+IF(S67="",AVERAGE(S:S),S67))))))</f>
        <v>2017</v>
      </c>
    </row>
    <row r="68" spans="1:20" x14ac:dyDescent="0.3">
      <c r="A68" s="1">
        <v>45886.069826388892</v>
      </c>
      <c r="B68">
        <v>1755409233</v>
      </c>
      <c r="C68">
        <v>2.0666600000000002</v>
      </c>
      <c r="D68">
        <v>8.9499999999999993</v>
      </c>
      <c r="E68">
        <v>2.75</v>
      </c>
      <c r="F68">
        <v>1.91666</v>
      </c>
      <c r="G68">
        <v>0.7</v>
      </c>
      <c r="H68">
        <v>5.2166600000000001</v>
      </c>
      <c r="I68">
        <v>3.25</v>
      </c>
      <c r="J68">
        <v>9.6833299999999998</v>
      </c>
      <c r="K68" s="2"/>
      <c r="L68">
        <f>IF(C68="","",C68*60)</f>
        <v>123.99960000000002</v>
      </c>
      <c r="M68">
        <f>IF(D68="","",D68*60)</f>
        <v>537</v>
      </c>
      <c r="N68">
        <f>IF(E68="","",E68*60)</f>
        <v>165</v>
      </c>
      <c r="O68">
        <f>IF(F68="","",F68*60)</f>
        <v>114.9996</v>
      </c>
      <c r="P68">
        <f>IF(G68="","",G68*60)</f>
        <v>42</v>
      </c>
      <c r="Q68">
        <f>IF(H68="","",H68*60)</f>
        <v>312.99959999999999</v>
      </c>
      <c r="R68">
        <f>IF(I68="","",I68*60)</f>
        <v>195</v>
      </c>
      <c r="S68">
        <f>IF(J68="","",J68*60)</f>
        <v>580.99979999999994</v>
      </c>
      <c r="T68" s="3">
        <f>ROUND(IF(L68="",AVERAGE(L:L),L68)+IF(M68="",AVERAGE(M:M),M68)+IF(N68="",AVERAGE(N:N),N68)+IF(O68="",AVERAGE(O:O),O68)+IF(P68="",AVERAGE(P:P),P68)+IF(Q68="",AVERAGE(Q:Q),Q68)+IF(R68="",AVERAGE(R:R),R68)+IF(S68="",AVERAGE(S:S),S68), 4-(1+INT(LOG10(ABS(IF(L68="",AVERAGE(L:L),L68)+IF(M68="",AVERAGE(M:M),M68)+IF(N68="",AVERAGE(N:N),N68)+IF(O68="",AVERAGE(O:O),O68)+IF(P68="",AVERAGE(P:P),P68)+IF(Q68="",AVERAGE(Q:Q),Q68)+IF(R68="",AVERAGE(R:R),R68)+IF(S68="",AVERAGE(S:S),S68))))))</f>
        <v>2072</v>
      </c>
    </row>
    <row r="69" spans="1:20" x14ac:dyDescent="0.3">
      <c r="A69" s="1">
        <v>45886.097222222219</v>
      </c>
      <c r="B69">
        <v>1755411600</v>
      </c>
      <c r="C69">
        <v>2.2000000000000002</v>
      </c>
      <c r="D69">
        <v>8.0666600000000006</v>
      </c>
      <c r="E69">
        <v>2.75</v>
      </c>
      <c r="F69">
        <v>1.91666</v>
      </c>
      <c r="G69">
        <v>0.7</v>
      </c>
      <c r="H69">
        <v>5.2833300000000003</v>
      </c>
      <c r="I69">
        <v>3.2833299999999999</v>
      </c>
      <c r="J69">
        <v>9.65</v>
      </c>
      <c r="K69" s="2"/>
      <c r="L69">
        <f>IF(C69="","",C69*60)</f>
        <v>132</v>
      </c>
      <c r="M69">
        <f>IF(D69="","",D69*60)</f>
        <v>483.99960000000004</v>
      </c>
      <c r="N69">
        <f>IF(E69="","",E69*60)</f>
        <v>165</v>
      </c>
      <c r="O69">
        <f>IF(F69="","",F69*60)</f>
        <v>114.9996</v>
      </c>
      <c r="P69">
        <f>IF(G69="","",G69*60)</f>
        <v>42</v>
      </c>
      <c r="Q69">
        <f>IF(H69="","",H69*60)</f>
        <v>316.99979999999999</v>
      </c>
      <c r="R69">
        <f>IF(I69="","",I69*60)</f>
        <v>196.99979999999999</v>
      </c>
      <c r="S69">
        <f>IF(J69="","",J69*60)</f>
        <v>579</v>
      </c>
      <c r="T69" s="3">
        <f>ROUND(IF(L69="",AVERAGE(L:L),L69)+IF(M69="",AVERAGE(M:M),M69)+IF(N69="",AVERAGE(N:N),N69)+IF(O69="",AVERAGE(O:O),O69)+IF(P69="",AVERAGE(P:P),P69)+IF(Q69="",AVERAGE(Q:Q),Q69)+IF(R69="",AVERAGE(R:R),R69)+IF(S69="",AVERAGE(S:S),S69), 4-(1+INT(LOG10(ABS(IF(L69="",AVERAGE(L:L),L69)+IF(M69="",AVERAGE(M:M),M69)+IF(N69="",AVERAGE(N:N),N69)+IF(O69="",AVERAGE(O:O),O69)+IF(P69="",AVERAGE(P:P),P69)+IF(Q69="",AVERAGE(Q:Q),Q69)+IF(R69="",AVERAGE(R:R),R69)+IF(S69="",AVERAGE(S:S),S69))))))</f>
        <v>2031</v>
      </c>
    </row>
    <row r="70" spans="1:20" x14ac:dyDescent="0.3">
      <c r="A70" s="1">
        <v>45886.124085648145</v>
      </c>
      <c r="B70">
        <v>1755413921</v>
      </c>
      <c r="C70">
        <v>2.1333299999999999</v>
      </c>
      <c r="D70">
        <v>7.5166599999999999</v>
      </c>
      <c r="E70">
        <v>2.9166599999999998</v>
      </c>
      <c r="F70">
        <v>1.8833299999999999</v>
      </c>
      <c r="G70">
        <v>0.73333000000000004</v>
      </c>
      <c r="H70">
        <v>5.2333299999999996</v>
      </c>
      <c r="I70">
        <v>3.2666599999999999</v>
      </c>
      <c r="J70">
        <v>9.1166599999999995</v>
      </c>
      <c r="K70" s="2"/>
      <c r="L70">
        <f>IF(C70="","",C70*60)</f>
        <v>127.99979999999999</v>
      </c>
      <c r="M70">
        <f>IF(D70="","",D70*60)</f>
        <v>450.99959999999999</v>
      </c>
      <c r="N70">
        <f>IF(E70="","",E70*60)</f>
        <v>174.99959999999999</v>
      </c>
      <c r="O70">
        <f>IF(F70="","",F70*60)</f>
        <v>112.99979999999999</v>
      </c>
      <c r="P70">
        <f>IF(G70="","",G70*60)</f>
        <v>43.9998</v>
      </c>
      <c r="Q70">
        <f>IF(H70="","",H70*60)</f>
        <v>313.99979999999999</v>
      </c>
      <c r="R70">
        <f>IF(I70="","",I70*60)</f>
        <v>195.99959999999999</v>
      </c>
      <c r="S70">
        <f>IF(J70="","",J70*60)</f>
        <v>546.99959999999999</v>
      </c>
      <c r="T70" s="3">
        <f>ROUND(IF(L70="",AVERAGE(L:L),L70)+IF(M70="",AVERAGE(M:M),M70)+IF(N70="",AVERAGE(N:N),N70)+IF(O70="",AVERAGE(O:O),O70)+IF(P70="",AVERAGE(P:P),P70)+IF(Q70="",AVERAGE(Q:Q),Q70)+IF(R70="",AVERAGE(R:R),R70)+IF(S70="",AVERAGE(S:S),S70), 4-(1+INT(LOG10(ABS(IF(L70="",AVERAGE(L:L),L70)+IF(M70="",AVERAGE(M:M),M70)+IF(N70="",AVERAGE(N:N),N70)+IF(O70="",AVERAGE(O:O),O70)+IF(P70="",AVERAGE(P:P),P70)+IF(Q70="",AVERAGE(Q:Q),Q70)+IF(R70="",AVERAGE(R:R),R70)+IF(S70="",AVERAGE(S:S),S70))))))</f>
        <v>1968</v>
      </c>
    </row>
    <row r="71" spans="1:20" x14ac:dyDescent="0.3">
      <c r="A71" s="1">
        <v>45886.152499999997</v>
      </c>
      <c r="B71">
        <v>1755416376</v>
      </c>
      <c r="C71">
        <v>2.6333299999999999</v>
      </c>
      <c r="D71">
        <v>7.6333299999999999</v>
      </c>
      <c r="E71">
        <v>3.8166600000000002</v>
      </c>
      <c r="F71">
        <v>2.3333300000000001</v>
      </c>
      <c r="G71">
        <v>0.83333000000000002</v>
      </c>
      <c r="H71">
        <v>5.2166600000000001</v>
      </c>
      <c r="I71">
        <v>3.9333300000000002</v>
      </c>
      <c r="J71">
        <v>8.8166600000000006</v>
      </c>
      <c r="K71" s="2"/>
      <c r="L71">
        <f>IF(C71="","",C71*60)</f>
        <v>157.99979999999999</v>
      </c>
      <c r="M71">
        <f>IF(D71="","",D71*60)</f>
        <v>457.99979999999999</v>
      </c>
      <c r="N71">
        <f>IF(E71="","",E71*60)</f>
        <v>228.99960000000002</v>
      </c>
      <c r="O71">
        <f>IF(F71="","",F71*60)</f>
        <v>139.99979999999999</v>
      </c>
      <c r="P71">
        <f>IF(G71="","",G71*60)</f>
        <v>49.9998</v>
      </c>
      <c r="Q71">
        <f>IF(H71="","",H71*60)</f>
        <v>312.99959999999999</v>
      </c>
      <c r="R71">
        <f>IF(I71="","",I71*60)</f>
        <v>235.99980000000002</v>
      </c>
      <c r="S71">
        <f>IF(J71="","",J71*60)</f>
        <v>528.99959999999999</v>
      </c>
      <c r="T71" s="3">
        <f>ROUND(IF(L71="",AVERAGE(L:L),L71)+IF(M71="",AVERAGE(M:M),M71)+IF(N71="",AVERAGE(N:N),N71)+IF(O71="",AVERAGE(O:O),O71)+IF(P71="",AVERAGE(P:P),P71)+IF(Q71="",AVERAGE(Q:Q),Q71)+IF(R71="",AVERAGE(R:R),R71)+IF(S71="",AVERAGE(S:S),S71), 4-(1+INT(LOG10(ABS(IF(L71="",AVERAGE(L:L),L71)+IF(M71="",AVERAGE(M:M),M71)+IF(N71="",AVERAGE(N:N),N71)+IF(O71="",AVERAGE(O:O),O71)+IF(P71="",AVERAGE(P:P),P71)+IF(Q71="",AVERAGE(Q:Q),Q71)+IF(R71="",AVERAGE(R:R),R71)+IF(S71="",AVERAGE(S:S),S71))))))</f>
        <v>2113</v>
      </c>
    </row>
    <row r="72" spans="1:20" x14ac:dyDescent="0.3">
      <c r="A72" s="1">
        <v>45886.186180555553</v>
      </c>
      <c r="B72">
        <v>1755419286</v>
      </c>
      <c r="C72">
        <v>2.36666</v>
      </c>
      <c r="D72">
        <v>10.716659999999999</v>
      </c>
      <c r="E72">
        <v>3.0333299999999999</v>
      </c>
      <c r="F72">
        <v>3.0833300000000001</v>
      </c>
      <c r="G72">
        <v>1.5333300000000001</v>
      </c>
      <c r="H72">
        <v>7.1833299999999998</v>
      </c>
      <c r="I72">
        <v>4</v>
      </c>
      <c r="J72">
        <v>10.466659999999999</v>
      </c>
      <c r="K72" s="2"/>
      <c r="L72">
        <f>IF(C72="","",C72*60)</f>
        <v>141.99959999999999</v>
      </c>
      <c r="M72">
        <f>IF(D72="","",D72*60)</f>
        <v>642.99959999999999</v>
      </c>
      <c r="N72">
        <f>IF(E72="","",E72*60)</f>
        <v>181.99979999999999</v>
      </c>
      <c r="O72">
        <f>IF(F72="","",F72*60)</f>
        <v>184.99979999999999</v>
      </c>
      <c r="P72">
        <f>IF(G72="","",G72*60)</f>
        <v>91.999800000000008</v>
      </c>
      <c r="Q72">
        <f>IF(H72="","",H72*60)</f>
        <v>430.99979999999999</v>
      </c>
      <c r="R72">
        <f>IF(I72="","",I72*60)</f>
        <v>240</v>
      </c>
      <c r="S72">
        <f>IF(J72="","",J72*60)</f>
        <v>627.99959999999999</v>
      </c>
      <c r="T72" s="3">
        <f>ROUND(IF(L72="",AVERAGE(L:L),L72)+IF(M72="",AVERAGE(M:M),M72)+IF(N72="",AVERAGE(N:N),N72)+IF(O72="",AVERAGE(O:O),O72)+IF(P72="",AVERAGE(P:P),P72)+IF(Q72="",AVERAGE(Q:Q),Q72)+IF(R72="",AVERAGE(R:R),R72)+IF(S72="",AVERAGE(S:S),S72), 4-(1+INT(LOG10(ABS(IF(L72="",AVERAGE(L:L),L72)+IF(M72="",AVERAGE(M:M),M72)+IF(N72="",AVERAGE(N:N),N72)+IF(O72="",AVERAGE(O:O),O72)+IF(P72="",AVERAGE(P:P),P72)+IF(Q72="",AVERAGE(Q:Q),Q72)+IF(R72="",AVERAGE(R:R),R72)+IF(S72="",AVERAGE(S:S),S72))))))</f>
        <v>2543</v>
      </c>
    </row>
    <row r="73" spans="1:20" x14ac:dyDescent="0.3">
      <c r="A73" s="1">
        <v>45887.557245370372</v>
      </c>
      <c r="B73">
        <v>1755537746</v>
      </c>
      <c r="C73">
        <v>3.45</v>
      </c>
      <c r="E73">
        <v>3.0333299999999999</v>
      </c>
      <c r="F73">
        <v>2.1833300000000002</v>
      </c>
      <c r="G73">
        <v>0.93332999999999999</v>
      </c>
      <c r="H73">
        <v>5.5333300000000003</v>
      </c>
      <c r="I73">
        <v>3.5333299999999999</v>
      </c>
      <c r="K73" s="2"/>
      <c r="L73">
        <f>IF(C73="","",C73*60)</f>
        <v>207</v>
      </c>
      <c r="M73" t="str">
        <f>IF(D73="","",D73*60)</f>
        <v/>
      </c>
      <c r="N73">
        <f>IF(E73="","",E73*60)</f>
        <v>181.99979999999999</v>
      </c>
      <c r="O73">
        <f>IF(F73="","",F73*60)</f>
        <v>130.99980000000002</v>
      </c>
      <c r="P73">
        <f>IF(G73="","",G73*60)</f>
        <v>55.9998</v>
      </c>
      <c r="Q73">
        <f>IF(H73="","",H73*60)</f>
        <v>331.99979999999999</v>
      </c>
      <c r="R73">
        <f>IF(I73="","",I73*60)</f>
        <v>211.99979999999999</v>
      </c>
      <c r="S73" t="str">
        <f>IF(J73="","",J73*60)</f>
        <v/>
      </c>
      <c r="T73" s="3">
        <f>ROUND(IF(L73="",AVERAGE(L:L),L73)+IF(M73="",AVERAGE(M:M),M73)+IF(N73="",AVERAGE(N:N),N73)+IF(O73="",AVERAGE(O:O),O73)+IF(P73="",AVERAGE(P:P),P73)+IF(Q73="",AVERAGE(Q:Q),Q73)+IF(R73="",AVERAGE(R:R),R73)+IF(S73="",AVERAGE(S:S),S73), 4-(1+INT(LOG10(ABS(IF(L73="",AVERAGE(L:L),L73)+IF(M73="",AVERAGE(M:M),M73)+IF(N73="",AVERAGE(N:N),N73)+IF(O73="",AVERAGE(O:O),O73)+IF(P73="",AVERAGE(P:P),P73)+IF(Q73="",AVERAGE(Q:Q),Q73)+IF(R73="",AVERAGE(R:R),R73)+IF(S73="",AVERAGE(S:S),S73))))))</f>
        <v>2180</v>
      </c>
    </row>
    <row r="74" spans="1:20" x14ac:dyDescent="0.3">
      <c r="A74" s="1">
        <v>45890.548449074071</v>
      </c>
      <c r="B74">
        <v>1755796186</v>
      </c>
      <c r="C74">
        <v>1.73333</v>
      </c>
      <c r="D74">
        <v>10.16666</v>
      </c>
      <c r="E74">
        <v>3.48333</v>
      </c>
      <c r="F74">
        <v>2.35</v>
      </c>
      <c r="G74">
        <v>0.78332999999999997</v>
      </c>
      <c r="H74">
        <v>5.3166599999999997</v>
      </c>
      <c r="I74">
        <v>3.6</v>
      </c>
      <c r="J74">
        <v>12.216659999999999</v>
      </c>
      <c r="K74" s="2"/>
      <c r="L74">
        <f>IF(C74="","",C74*60)</f>
        <v>103.99980000000001</v>
      </c>
      <c r="M74">
        <f>IF(D74="","",D74*60)</f>
        <v>609.99959999999999</v>
      </c>
      <c r="N74">
        <f>IF(E74="","",E74*60)</f>
        <v>208.99979999999999</v>
      </c>
      <c r="O74">
        <f>IF(F74="","",F74*60)</f>
        <v>141</v>
      </c>
      <c r="P74">
        <f>IF(G74="","",G74*60)</f>
        <v>46.9998</v>
      </c>
      <c r="Q74">
        <f>IF(H74="","",H74*60)</f>
        <v>318.99959999999999</v>
      </c>
      <c r="R74">
        <f>IF(I74="","",I74*60)</f>
        <v>216</v>
      </c>
      <c r="S74">
        <f>IF(J74="","",J74*60)</f>
        <v>732.99959999999999</v>
      </c>
      <c r="T74" s="3">
        <f>ROUND(IF(L74="",AVERAGE(L:L),L74)+IF(M74="",AVERAGE(M:M),M74)+IF(N74="",AVERAGE(N:N),N74)+IF(O74="",AVERAGE(O:O),O74)+IF(P74="",AVERAGE(P:P),P74)+IF(Q74="",AVERAGE(Q:Q),Q74)+IF(R74="",AVERAGE(R:R),R74)+IF(S74="",AVERAGE(S:S),S74), 4-(1+INT(LOG10(ABS(IF(L74="",AVERAGE(L:L),L74)+IF(M74="",AVERAGE(M:M),M74)+IF(N74="",AVERAGE(N:N),N74)+IF(O74="",AVERAGE(O:O),O74)+IF(P74="",AVERAGE(P:P),P74)+IF(Q74="",AVERAGE(Q:Q),Q74)+IF(R74="",AVERAGE(R:R),R74)+IF(S74="",AVERAGE(S:S),S74))))))</f>
        <v>2379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paper_data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Wuthier, Simeon J. (Assoc)</dc:creator>
  <cp:lastModifiedBy>Wuthier, Simeon J. (Assoc)</cp:lastModifiedBy>
  <dcterms:created xsi:type="dcterms:W3CDTF">2025-08-18T14:10:00Z</dcterms:created>
  <dcterms:modified xsi:type="dcterms:W3CDTF">2025-08-26T15:53:31Z</dcterms:modified>
</cp:coreProperties>
</file>